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ta.zemanova\Desktop\"/>
    </mc:Choice>
  </mc:AlternateContent>
  <xr:revisionPtr revIDLastSave="0" documentId="8_{24729132-FA45-47A3-A17C-FB4FC7CD462B}" xr6:coauthVersionLast="47" xr6:coauthVersionMax="47" xr10:uidLastSave="{00000000-0000-0000-0000-000000000000}"/>
  <bookViews>
    <workbookView xWindow="-4215" yWindow="-20640" windowWidth="28800" windowHeight="15285" firstSheet="2" activeTab="2" xr2:uid="{00000000-000D-0000-FFFF-FFFF00000000}"/>
  </bookViews>
  <sheets>
    <sheet name="Zaměstnanec - informace" sheetId="1" state="hidden" r:id="rId1"/>
    <sheet name="VZOR " sheetId="2" state="hidden" r:id="rId2"/>
    <sheet name="únor 2026" sheetId="4" r:id="rId3"/>
    <sheet name="Číselník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4" l="1"/>
  <c r="M37" i="4"/>
  <c r="M34" i="4" l="1"/>
  <c r="M33" i="4"/>
  <c r="M32" i="4"/>
  <c r="M31" i="4"/>
  <c r="M30" i="4"/>
  <c r="M27" i="4"/>
  <c r="M26" i="4"/>
  <c r="M25" i="4"/>
  <c r="M24" i="4"/>
  <c r="M23" i="4"/>
  <c r="M20" i="4"/>
  <c r="M19" i="4"/>
  <c r="M18" i="4"/>
  <c r="M17" i="4"/>
  <c r="M16" i="4"/>
  <c r="M13" i="4"/>
  <c r="M12" i="4"/>
  <c r="M11" i="4"/>
  <c r="M10" i="4"/>
  <c r="M9" i="4"/>
  <c r="J4" i="4"/>
  <c r="A35" i="4" s="1"/>
  <c r="M3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8" i="2"/>
  <c r="V14" i="3"/>
  <c r="V13" i="3"/>
  <c r="V12" i="3"/>
  <c r="V11" i="3"/>
  <c r="V10" i="3"/>
  <c r="V9" i="3"/>
  <c r="V8" i="3"/>
  <c r="V7" i="3"/>
  <c r="V6" i="3"/>
  <c r="V5" i="3"/>
  <c r="V4" i="3"/>
  <c r="V3" i="3"/>
  <c r="V2" i="3"/>
  <c r="J4" i="2"/>
  <c r="A9" i="2" s="1"/>
  <c r="B9" i="2" s="1"/>
  <c r="M39" i="4" l="1"/>
  <c r="M46" i="4" s="1"/>
  <c r="B35" i="4"/>
  <c r="O35" i="4"/>
  <c r="P35" i="4" s="1"/>
  <c r="Q35" i="4" s="1"/>
  <c r="A13" i="4"/>
  <c r="A17" i="4"/>
  <c r="A33" i="4"/>
  <c r="A37" i="4"/>
  <c r="S7" i="4"/>
  <c r="A8" i="4"/>
  <c r="A12" i="4"/>
  <c r="A16" i="4"/>
  <c r="A20" i="4"/>
  <c r="A24" i="4"/>
  <c r="A28" i="4"/>
  <c r="A32" i="4"/>
  <c r="A36" i="4"/>
  <c r="A10" i="4"/>
  <c r="A14" i="4"/>
  <c r="A18" i="4"/>
  <c r="A22" i="4"/>
  <c r="A26" i="4"/>
  <c r="A30" i="4"/>
  <c r="A34" i="4"/>
  <c r="A38" i="4"/>
  <c r="A9" i="4"/>
  <c r="A21" i="4"/>
  <c r="A25" i="4"/>
  <c r="A29" i="4"/>
  <c r="A11" i="4"/>
  <c r="A15" i="4"/>
  <c r="A19" i="4"/>
  <c r="A23" i="4"/>
  <c r="A27" i="4"/>
  <c r="A31" i="4"/>
  <c r="S7" i="2"/>
  <c r="O9" i="2"/>
  <c r="A8" i="2"/>
  <c r="A24" i="2"/>
  <c r="A14" i="2"/>
  <c r="A26" i="2"/>
  <c r="A23" i="2"/>
  <c r="A20" i="2"/>
  <c r="A18" i="2"/>
  <c r="A17" i="2"/>
  <c r="A36" i="2"/>
  <c r="A35" i="2"/>
  <c r="A34" i="2"/>
  <c r="A33" i="2"/>
  <c r="A13" i="2"/>
  <c r="A27" i="2"/>
  <c r="A21" i="2"/>
  <c r="A38" i="2"/>
  <c r="A37" i="2"/>
  <c r="A16" i="2"/>
  <c r="A15" i="2"/>
  <c r="A32" i="2"/>
  <c r="A12" i="2"/>
  <c r="A28" i="2"/>
  <c r="A19" i="2"/>
  <c r="A31" i="2"/>
  <c r="A11" i="2"/>
  <c r="A30" i="2"/>
  <c r="A10" i="2"/>
  <c r="A25" i="2"/>
  <c r="A22" i="2"/>
  <c r="A29" i="2"/>
  <c r="M39" i="2"/>
  <c r="M46" i="2" s="1"/>
  <c r="O25" i="4" l="1"/>
  <c r="P25" i="4" s="1"/>
  <c r="Q25" i="4" s="1"/>
  <c r="B25" i="4"/>
  <c r="B18" i="4"/>
  <c r="O18" i="4"/>
  <c r="P18" i="4" s="1"/>
  <c r="Q18" i="4" s="1"/>
  <c r="O16" i="4"/>
  <c r="P16" i="4" s="1"/>
  <c r="Q16" i="4" s="1"/>
  <c r="B16" i="4"/>
  <c r="B27" i="4"/>
  <c r="O27" i="4"/>
  <c r="P27" i="4" s="1"/>
  <c r="Q27" i="4" s="1"/>
  <c r="B9" i="4"/>
  <c r="O9" i="4"/>
  <c r="P9" i="4" s="1"/>
  <c r="Q9" i="4" s="1"/>
  <c r="B10" i="4"/>
  <c r="O10" i="4"/>
  <c r="P10" i="4" s="1"/>
  <c r="Q10" i="4" s="1"/>
  <c r="O8" i="4"/>
  <c r="P8" i="4" s="1"/>
  <c r="Q8" i="4" s="1"/>
  <c r="B8" i="4"/>
  <c r="B23" i="4"/>
  <c r="O23" i="4"/>
  <c r="P23" i="4" s="1"/>
  <c r="Q23" i="4" s="1"/>
  <c r="O38" i="4"/>
  <c r="P38" i="4" s="1"/>
  <c r="Q38" i="4" s="1"/>
  <c r="B38" i="4"/>
  <c r="O36" i="4"/>
  <c r="P36" i="4" s="1"/>
  <c r="Q36" i="4" s="1"/>
  <c r="B36" i="4"/>
  <c r="B19" i="4"/>
  <c r="O19" i="4"/>
  <c r="P19" i="4" s="1"/>
  <c r="Q19" i="4" s="1"/>
  <c r="B34" i="4"/>
  <c r="O34" i="4"/>
  <c r="P34" i="4" s="1"/>
  <c r="Q34" i="4" s="1"/>
  <c r="O32" i="4"/>
  <c r="P32" i="4" s="1"/>
  <c r="Q32" i="4" s="1"/>
  <c r="B32" i="4"/>
  <c r="O37" i="4"/>
  <c r="P37" i="4" s="1"/>
  <c r="Q37" i="4" s="1"/>
  <c r="B37" i="4"/>
  <c r="B15" i="4"/>
  <c r="O15" i="4"/>
  <c r="P15" i="4" s="1"/>
  <c r="Q15" i="4" s="1"/>
  <c r="O30" i="4"/>
  <c r="P30" i="4" s="1"/>
  <c r="Q30" i="4" s="1"/>
  <c r="B30" i="4"/>
  <c r="O28" i="4"/>
  <c r="P28" i="4" s="1"/>
  <c r="Q28" i="4" s="1"/>
  <c r="B28" i="4"/>
  <c r="B33" i="4"/>
  <c r="O33" i="4"/>
  <c r="P33" i="4" s="1"/>
  <c r="Q33" i="4" s="1"/>
  <c r="B11" i="4"/>
  <c r="O11" i="4"/>
  <c r="P11" i="4" s="1"/>
  <c r="Q11" i="4" s="1"/>
  <c r="B26" i="4"/>
  <c r="O26" i="4"/>
  <c r="P26" i="4" s="1"/>
  <c r="Q26" i="4" s="1"/>
  <c r="O24" i="4"/>
  <c r="P24" i="4" s="1"/>
  <c r="Q24" i="4" s="1"/>
  <c r="B24" i="4"/>
  <c r="B17" i="4"/>
  <c r="O17" i="4"/>
  <c r="P17" i="4" s="1"/>
  <c r="Q17" i="4" s="1"/>
  <c r="B29" i="4"/>
  <c r="O29" i="4"/>
  <c r="P29" i="4" s="1"/>
  <c r="Q29" i="4" s="1"/>
  <c r="B22" i="4"/>
  <c r="O22" i="4"/>
  <c r="P22" i="4" s="1"/>
  <c r="Q22" i="4" s="1"/>
  <c r="O20" i="4"/>
  <c r="P20" i="4" s="1"/>
  <c r="Q20" i="4" s="1"/>
  <c r="B20" i="4"/>
  <c r="B13" i="4"/>
  <c r="O13" i="4"/>
  <c r="P13" i="4" s="1"/>
  <c r="Q13" i="4" s="1"/>
  <c r="B31" i="4"/>
  <c r="O31" i="4"/>
  <c r="P31" i="4" s="1"/>
  <c r="Q31" i="4" s="1"/>
  <c r="B21" i="4"/>
  <c r="O21" i="4"/>
  <c r="P21" i="4" s="1"/>
  <c r="Q21" i="4" s="1"/>
  <c r="O14" i="4"/>
  <c r="P14" i="4" s="1"/>
  <c r="Q14" i="4" s="1"/>
  <c r="B14" i="4"/>
  <c r="O12" i="4"/>
  <c r="P12" i="4" s="1"/>
  <c r="Q12" i="4" s="1"/>
  <c r="B12" i="4"/>
  <c r="P9" i="2"/>
  <c r="Q9" i="2" s="1"/>
  <c r="B32" i="2"/>
  <c r="O32" i="2"/>
  <c r="B38" i="2"/>
  <c r="O38" i="2"/>
  <c r="B34" i="2"/>
  <c r="O34" i="2"/>
  <c r="B25" i="2"/>
  <c r="O25" i="2"/>
  <c r="B30" i="2"/>
  <c r="O30" i="2"/>
  <c r="B11" i="2"/>
  <c r="O11" i="2"/>
  <c r="B23" i="2"/>
  <c r="O23" i="2"/>
  <c r="B16" i="2"/>
  <c r="O16" i="2"/>
  <c r="B27" i="2"/>
  <c r="O27" i="2"/>
  <c r="B35" i="2"/>
  <c r="O35" i="2"/>
  <c r="B18" i="2"/>
  <c r="O18" i="2"/>
  <c r="B31" i="2"/>
  <c r="O31" i="2"/>
  <c r="B26" i="2"/>
  <c r="O26" i="2"/>
  <c r="B15" i="2"/>
  <c r="O15" i="2"/>
  <c r="B13" i="2"/>
  <c r="O13" i="2"/>
  <c r="B36" i="2"/>
  <c r="O36" i="2"/>
  <c r="B10" i="2"/>
  <c r="O10" i="2"/>
  <c r="B19" i="2"/>
  <c r="O19" i="2"/>
  <c r="B14" i="2"/>
  <c r="O14" i="2"/>
  <c r="B37" i="2"/>
  <c r="O37" i="2"/>
  <c r="B21" i="2"/>
  <c r="O21" i="2"/>
  <c r="B29" i="2"/>
  <c r="O29" i="2"/>
  <c r="B17" i="2"/>
  <c r="O17" i="2"/>
  <c r="B28" i="2"/>
  <c r="O28" i="2"/>
  <c r="B24" i="2"/>
  <c r="O24" i="2"/>
  <c r="B33" i="2"/>
  <c r="O33" i="2"/>
  <c r="B22" i="2"/>
  <c r="O22" i="2"/>
  <c r="B20" i="2"/>
  <c r="O20" i="2"/>
  <c r="B12" i="2"/>
  <c r="O12" i="2"/>
  <c r="B8" i="2"/>
  <c r="O8" i="2"/>
  <c r="P20" i="2" l="1"/>
  <c r="Q20" i="2" s="1"/>
  <c r="P37" i="2"/>
  <c r="Q37" i="2" s="1"/>
  <c r="P22" i="2"/>
  <c r="Q22" i="2" s="1"/>
  <c r="P17" i="2"/>
  <c r="Q17" i="2" s="1"/>
  <c r="P14" i="2"/>
  <c r="Q14" i="2" s="1"/>
  <c r="P13" i="2"/>
  <c r="Q13" i="2" s="1"/>
  <c r="P18" i="2"/>
  <c r="Q18" i="2" s="1"/>
  <c r="P23" i="2"/>
  <c r="Q23" i="2" s="1"/>
  <c r="P34" i="2"/>
  <c r="Q34" i="2" s="1"/>
  <c r="P8" i="2"/>
  <c r="Q8" i="2" s="1"/>
  <c r="P33" i="2"/>
  <c r="Q33" i="2" s="1"/>
  <c r="P29" i="2"/>
  <c r="Q29" i="2" s="1"/>
  <c r="P19" i="2"/>
  <c r="Q19" i="2" s="1"/>
  <c r="P15" i="2"/>
  <c r="Q15" i="2" s="1"/>
  <c r="P35" i="2"/>
  <c r="Q35" i="2" s="1"/>
  <c r="P11" i="2"/>
  <c r="Q11" i="2" s="1"/>
  <c r="P38" i="2"/>
  <c r="Q38" i="2" s="1"/>
  <c r="P12" i="2"/>
  <c r="Q12" i="2" s="1"/>
  <c r="P24" i="2"/>
  <c r="Q24" i="2" s="1"/>
  <c r="P21" i="2"/>
  <c r="Q21" i="2" s="1"/>
  <c r="P10" i="2"/>
  <c r="Q10" i="2" s="1"/>
  <c r="P26" i="2"/>
  <c r="Q26" i="2" s="1"/>
  <c r="P27" i="2"/>
  <c r="Q27" i="2" s="1"/>
  <c r="P30" i="2"/>
  <c r="Q30" i="2" s="1"/>
  <c r="P32" i="2"/>
  <c r="Q32" i="2" s="1"/>
  <c r="P28" i="2"/>
  <c r="Q28" i="2" s="1"/>
  <c r="P36" i="2"/>
  <c r="Q36" i="2" s="1"/>
  <c r="P31" i="2"/>
  <c r="Q31" i="2" s="1"/>
  <c r="P16" i="2"/>
  <c r="Q16" i="2" s="1"/>
  <c r="P25" i="2"/>
  <c r="Q25" i="2" s="1"/>
</calcChain>
</file>

<file path=xl/sharedStrings.xml><?xml version="1.0" encoding="utf-8"?>
<sst xmlns="http://schemas.openxmlformats.org/spreadsheetml/2006/main" count="194" uniqueCount="105">
  <si>
    <t>Evidence docházky - Moravian Science Brno, příspěvková organizace, Křížkovského 554/12, 603 00 Brno</t>
  </si>
  <si>
    <t>Informace k vykazování odpracované doby</t>
  </si>
  <si>
    <t xml:space="preserve">J </t>
  </si>
  <si>
    <t>služební jednání</t>
  </si>
  <si>
    <t>Odpracovaná doba</t>
  </si>
  <si>
    <t>PC</t>
  </si>
  <si>
    <t>pracovní cesta</t>
  </si>
  <si>
    <t xml:space="preserve">S </t>
  </si>
  <si>
    <t>svátek</t>
  </si>
  <si>
    <t>ŠK strava</t>
  </si>
  <si>
    <t xml:space="preserve">školení se stravou </t>
  </si>
  <si>
    <t>ŠK bez</t>
  </si>
  <si>
    <t>školení bez stravy</t>
  </si>
  <si>
    <t>HO</t>
  </si>
  <si>
    <t>home office</t>
  </si>
  <si>
    <t>NÁHRADY MZDY:</t>
  </si>
  <si>
    <t xml:space="preserve">D </t>
  </si>
  <si>
    <t>dovolená</t>
  </si>
  <si>
    <t>nezapočítá se do odpracované doby</t>
  </si>
  <si>
    <t xml:space="preserve">PV </t>
  </si>
  <si>
    <t>placené volno</t>
  </si>
  <si>
    <t xml:space="preserve">DPN </t>
  </si>
  <si>
    <t>nemoc</t>
  </si>
  <si>
    <t xml:space="preserve">OČR </t>
  </si>
  <si>
    <t>ošetřování člena rodiny</t>
  </si>
  <si>
    <t xml:space="preserve">SD </t>
  </si>
  <si>
    <t>sick day</t>
  </si>
  <si>
    <t xml:space="preserve">SO </t>
  </si>
  <si>
    <t>soukromé vyřizování</t>
  </si>
  <si>
    <t>Měsíc:</t>
  </si>
  <si>
    <t>Docházka</t>
  </si>
  <si>
    <t>Datum</t>
  </si>
  <si>
    <t xml:space="preserve">Příchod </t>
  </si>
  <si>
    <t>Odchod</t>
  </si>
  <si>
    <t>Jednání</t>
  </si>
  <si>
    <t>Oběd</t>
  </si>
  <si>
    <t>Ostatní</t>
  </si>
  <si>
    <t>Odpracované hodiny</t>
  </si>
  <si>
    <t>od</t>
  </si>
  <si>
    <t>do</t>
  </si>
  <si>
    <t>důvod</t>
  </si>
  <si>
    <t xml:space="preserve">od </t>
  </si>
  <si>
    <t>odpracovaná doba</t>
  </si>
  <si>
    <t>svátek:</t>
  </si>
  <si>
    <t>dovolená:</t>
  </si>
  <si>
    <t>sick day:</t>
  </si>
  <si>
    <t>DPN:</t>
  </si>
  <si>
    <t>OČR:</t>
  </si>
  <si>
    <t>Placené volno:</t>
  </si>
  <si>
    <t>Celkem:</t>
  </si>
  <si>
    <t>Důvod:</t>
  </si>
  <si>
    <t>D = dovolená</t>
  </si>
  <si>
    <t>So = soukromé vyřizování</t>
  </si>
  <si>
    <t xml:space="preserve">J = služební jednání </t>
  </si>
  <si>
    <t>PC = pracovní cesta</t>
  </si>
  <si>
    <t>PV = placené volno (překážka)</t>
  </si>
  <si>
    <t>S = svátek</t>
  </si>
  <si>
    <t>DPN = nemoc</t>
  </si>
  <si>
    <t>ŠK = školení (se stravou, beze stravy)</t>
  </si>
  <si>
    <t>OČR = očr</t>
  </si>
  <si>
    <t>HO = home office</t>
  </si>
  <si>
    <t>SD = sick day</t>
  </si>
  <si>
    <t>Měsíc</t>
  </si>
  <si>
    <t>Pořádové číslo</t>
  </si>
  <si>
    <t>Rok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</si>
  <si>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</si>
  <si>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</si>
  <si>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</si>
  <si>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</si>
  <si>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</si>
  <si>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</si>
  <si>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</si>
  <si>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</si>
  <si>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</si>
  <si>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</si>
  <si>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</si>
  <si>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</si>
  <si>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Svátky</t>
  </si>
  <si>
    <t>Vyhledáno v číselníku?</t>
  </si>
  <si>
    <t>Úprava</t>
  </si>
  <si>
    <t>( ) = svátek neodpracovaný</t>
  </si>
  <si>
    <t>J = služební jednání</t>
  </si>
  <si>
    <t>PV = placené volno</t>
  </si>
  <si>
    <t>OČR = ošetřovné</t>
  </si>
  <si>
    <t>Jméno:</t>
  </si>
  <si>
    <t>Červen</t>
  </si>
  <si>
    <t>PC Kuřim</t>
  </si>
  <si>
    <t xml:space="preserve">PC Kuřim </t>
  </si>
  <si>
    <t xml:space="preserve">Tomáš Mejzlík  </t>
  </si>
  <si>
    <t xml:space="preserve">OČ: </t>
  </si>
  <si>
    <t>úvazek 0,8</t>
  </si>
  <si>
    <t>Fablab</t>
  </si>
  <si>
    <t>SC Polsko</t>
  </si>
  <si>
    <t>Evidence docházky - JINTEK, z.ú., Křížkovského 554/12, 603 00 Brno</t>
  </si>
  <si>
    <t>Pokyny k vyplnění:</t>
  </si>
  <si>
    <t>Do pole příchod, odchod, oběd od - do zadejte hodiny ve formátu 00:00, odpracované hodiny se automaticky sečtou.</t>
  </si>
  <si>
    <t>Stejně jako v případě dovolené postupujte i v případě OČR, SD, DPN,…</t>
  </si>
  <si>
    <t>úvazek:</t>
  </si>
  <si>
    <t>Březen</t>
  </si>
  <si>
    <t>D</t>
  </si>
  <si>
    <t>SD</t>
  </si>
  <si>
    <t>XXXXXXX</t>
  </si>
  <si>
    <t>X,X</t>
  </si>
  <si>
    <t>Do pole DŮVOD uvádějte zkratky viz seznam pod tabulkou, v řádku nevyplňujte hodiny. Tyto hodiny napiště součtem do spodní části tabulky.</t>
  </si>
  <si>
    <t>Např. Pokud čerpáte dovolenou, konkrétní den označte v poli "důvod" písmenem D a zadejte sumu hodin dovolené do odpovídajícího pole ve spodní části tabulky.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</si>
</sst>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;@"/>
    <numFmt numFmtId="165" formatCode="[h]:mm"/>
    <numFmt numFmtId="166" formatCode="h:mm;@"/>
  </numFmts>
  <fonts count="13" x14ac:knownFonts="1">
    <font>
      <sz val="11"/>
      <color theme="1"/>
      <name val="Calibri"/>
      <family val="2"/>
      <charset val="238"/>
      <scheme val="minor"/>
    </font>
    <font>
      <sz val="10"/>
      <name val="Arial CE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0"/>
      <name val="Arial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i/>
      <sz val="11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lightDown"/>
    </fill>
    <fill>
      <patternFill patternType="solid">
        <fgColor theme="0"/>
        <bgColor indexed="64"/>
      </patternFill>
    </fill>
    <fill>
      <patternFill patternType="solid">
        <fgColor indexed="52"/>
        <bgColor indexed="53"/>
      </patternFill>
    </fill>
    <fill>
      <patternFill patternType="solid">
        <fgColor theme="4"/>
        <bgColor indexed="64"/>
      </patternFill>
    </fill>
    <fill>
      <patternFill patternType="solid">
        <fgColor rgb="FFFFCC99"/>
      </patternFill>
    </fill>
    <fill>
      <patternFill patternType="lightDown">
        <fgColor theme="0" tint="-0.499984740745262"/>
        <bgColor indexed="65"/>
      </patternFill>
    </fill>
    <fill>
      <patternFill patternType="gray125">
        <fgColor theme="0" tint="-0.499984740745262"/>
        <bgColor indexed="65"/>
      </patternFill>
    </fill>
    <fill>
      <patternFill patternType="solid">
        <fgColor rgb="FFFAFAFA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4" borderId="0"/>
    <xf numFmtId="0" fontId="6" fillId="0" borderId="0"/>
    <xf numFmtId="0" fontId="7" fillId="0" borderId="0"/>
    <xf numFmtId="0" fontId="7" fillId="0" borderId="0"/>
    <xf numFmtId="0" fontId="11" fillId="6" borderId="24" applyNumberFormat="0" applyAlignment="0" applyProtection="0"/>
  </cellStyleXfs>
  <cellXfs count="105">
    <xf numFmtId="0" fontId="0" fillId="0" borderId="0" xfId="0"/>
    <xf numFmtId="49" fontId="3" fillId="0" borderId="0" xfId="1" applyNumberFormat="1" applyFont="1"/>
    <xf numFmtId="49" fontId="2" fillId="0" borderId="0" xfId="1" applyNumberFormat="1" applyFont="1"/>
    <xf numFmtId="49" fontId="4" fillId="0" borderId="0" xfId="1" applyNumberFormat="1" applyFont="1"/>
    <xf numFmtId="49" fontId="4" fillId="0" borderId="0" xfId="1" applyNumberFormat="1" applyFont="1" applyAlignment="1">
      <alignment horizontal="center"/>
    </xf>
    <xf numFmtId="165" fontId="2" fillId="0" borderId="16" xfId="1" applyNumberFormat="1" applyFont="1" applyBorder="1" applyAlignment="1">
      <alignment horizontal="center"/>
    </xf>
    <xf numFmtId="49" fontId="3" fillId="3" borderId="0" xfId="1" applyNumberFormat="1" applyFont="1" applyFill="1"/>
    <xf numFmtId="49" fontId="10" fillId="3" borderId="0" xfId="1" applyNumberFormat="1" applyFont="1" applyFill="1"/>
    <xf numFmtId="0" fontId="2" fillId="0" borderId="3" xfId="1" applyFont="1" applyBorder="1" applyAlignment="1" applyProtection="1">
      <alignment wrapText="1"/>
      <protection locked="0"/>
    </xf>
    <xf numFmtId="0" fontId="3" fillId="0" borderId="0" xfId="1" applyFont="1" applyAlignment="1" applyProtection="1">
      <alignment wrapText="1"/>
      <protection locked="0"/>
    </xf>
    <xf numFmtId="0" fontId="3" fillId="0" borderId="0" xfId="1" applyFont="1" applyAlignment="1" applyProtection="1">
      <alignment horizontal="center" wrapText="1"/>
      <protection locked="0"/>
    </xf>
    <xf numFmtId="0" fontId="3" fillId="0" borderId="4" xfId="1" applyFont="1" applyBorder="1" applyAlignment="1" applyProtection="1">
      <alignment horizontal="center" wrapText="1"/>
      <protection locked="0"/>
    </xf>
    <xf numFmtId="49" fontId="2" fillId="0" borderId="0" xfId="1" applyNumberFormat="1" applyFont="1" applyAlignment="1" applyProtection="1">
      <alignment horizontal="center"/>
      <protection locked="0"/>
    </xf>
    <xf numFmtId="0" fontId="2" fillId="0" borderId="0" xfId="1" applyFont="1" applyAlignment="1" applyProtection="1">
      <alignment horizontal="center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3" fillId="0" borderId="4" xfId="1" applyNumberFormat="1" applyFont="1" applyBorder="1" applyAlignment="1" applyProtection="1">
      <alignment horizontal="center"/>
      <protection locked="0"/>
    </xf>
    <xf numFmtId="165" fontId="3" fillId="3" borderId="19" xfId="1" applyNumberFormat="1" applyFont="1" applyFill="1" applyBorder="1" applyAlignment="1" applyProtection="1">
      <alignment horizontal="center"/>
      <protection locked="0"/>
    </xf>
    <xf numFmtId="165" fontId="2" fillId="3" borderId="19" xfId="1" applyNumberFormat="1" applyFont="1" applyFill="1" applyBorder="1" applyAlignment="1" applyProtection="1">
      <alignment horizontal="center"/>
      <protection locked="0"/>
    </xf>
    <xf numFmtId="165" fontId="3" fillId="3" borderId="10" xfId="1" applyNumberFormat="1" applyFont="1" applyFill="1" applyBorder="1" applyAlignment="1" applyProtection="1">
      <alignment horizontal="center"/>
      <protection locked="0"/>
    </xf>
    <xf numFmtId="165" fontId="2" fillId="3" borderId="10" xfId="1" applyNumberFormat="1" applyFont="1" applyFill="1" applyBorder="1" applyAlignment="1" applyProtection="1">
      <alignment horizontal="center"/>
      <protection locked="0"/>
    </xf>
    <xf numFmtId="165" fontId="3" fillId="3" borderId="17" xfId="1" applyNumberFormat="1" applyFont="1" applyFill="1" applyBorder="1" applyAlignment="1" applyProtection="1">
      <alignment horizontal="center"/>
      <protection locked="0"/>
    </xf>
    <xf numFmtId="165" fontId="2" fillId="3" borderId="17" xfId="1" applyNumberFormat="1" applyFont="1" applyFill="1" applyBorder="1" applyAlignment="1" applyProtection="1">
      <alignment horizontal="center"/>
      <protection locked="0"/>
    </xf>
    <xf numFmtId="165" fontId="3" fillId="3" borderId="14" xfId="1" applyNumberFormat="1" applyFont="1" applyFill="1" applyBorder="1" applyAlignment="1" applyProtection="1">
      <alignment horizontal="center"/>
      <protection locked="0"/>
    </xf>
    <xf numFmtId="165" fontId="2" fillId="3" borderId="14" xfId="1" applyNumberFormat="1" applyFont="1" applyFill="1" applyBorder="1" applyAlignment="1" applyProtection="1">
      <alignment horizontal="center"/>
      <protection locked="0"/>
    </xf>
    <xf numFmtId="164" fontId="4" fillId="3" borderId="0" xfId="1" applyNumberFormat="1" applyFont="1" applyFill="1" applyAlignment="1" applyProtection="1">
      <alignment horizontal="center" shrinkToFit="1"/>
      <protection locked="0"/>
    </xf>
    <xf numFmtId="49" fontId="3" fillId="3" borderId="0" xfId="1" applyNumberFormat="1" applyFont="1" applyFill="1" applyProtection="1">
      <protection locked="0"/>
    </xf>
    <xf numFmtId="49" fontId="2" fillId="3" borderId="0" xfId="1" applyNumberFormat="1" applyFont="1" applyFill="1" applyProtection="1">
      <protection locked="0"/>
    </xf>
    <xf numFmtId="164" fontId="3" fillId="3" borderId="0" xfId="1" applyNumberFormat="1" applyFont="1" applyFill="1" applyAlignment="1" applyProtection="1">
      <alignment horizontal="center" shrinkToFit="1"/>
      <protection locked="0"/>
    </xf>
    <xf numFmtId="0" fontId="2" fillId="3" borderId="0" xfId="1" applyFont="1" applyFill="1" applyAlignment="1" applyProtection="1">
      <alignment horizontal="left"/>
      <protection locked="0"/>
    </xf>
    <xf numFmtId="165" fontId="3" fillId="3" borderId="16" xfId="1" applyNumberFormat="1" applyFont="1" applyFill="1" applyBorder="1" applyAlignment="1" applyProtection="1">
      <alignment horizontal="center"/>
      <protection locked="0"/>
    </xf>
    <xf numFmtId="49" fontId="2" fillId="3" borderId="0" xfId="1" applyNumberFormat="1" applyFont="1" applyFill="1" applyAlignment="1" applyProtection="1">
      <alignment horizontal="left"/>
      <protection locked="0"/>
    </xf>
    <xf numFmtId="164" fontId="3" fillId="0" borderId="0" xfId="1" applyNumberFormat="1" applyFont="1" applyAlignment="1" applyProtection="1">
      <alignment horizontal="center" shrinkToFit="1"/>
      <protection locked="0"/>
    </xf>
    <xf numFmtId="49" fontId="3" fillId="0" borderId="0" xfId="1" applyNumberFormat="1" applyFont="1" applyProtection="1">
      <protection locked="0"/>
    </xf>
    <xf numFmtId="0" fontId="2" fillId="0" borderId="0" xfId="1" applyFont="1" applyAlignment="1" applyProtection="1">
      <alignment horizontal="left"/>
      <protection locked="0"/>
    </xf>
    <xf numFmtId="49" fontId="2" fillId="0" borderId="0" xfId="1" applyNumberFormat="1" applyFont="1" applyProtection="1">
      <protection locked="0"/>
    </xf>
    <xf numFmtId="165" fontId="3" fillId="0" borderId="16" xfId="1" applyNumberFormat="1" applyFont="1" applyBorder="1" applyAlignment="1" applyProtection="1">
      <alignment horizontal="center"/>
      <protection locked="0"/>
    </xf>
    <xf numFmtId="164" fontId="5" fillId="0" borderId="0" xfId="1" applyNumberFormat="1" applyFont="1" applyAlignment="1" applyProtection="1">
      <alignment horizontal="center" shrinkToFit="1"/>
      <protection locked="0"/>
    </xf>
    <xf numFmtId="166" fontId="3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/>
      <protection locked="0"/>
    </xf>
    <xf numFmtId="12" fontId="4" fillId="0" borderId="0" xfId="1" applyNumberFormat="1" applyFont="1" applyAlignment="1" applyProtection="1">
      <alignment horizontal="center"/>
      <protection locked="0"/>
    </xf>
    <xf numFmtId="164" fontId="4" fillId="0" borderId="0" xfId="1" applyNumberFormat="1" applyFont="1" applyAlignment="1" applyProtection="1">
      <alignment horizontal="center" shrinkToFit="1"/>
      <protection locked="0"/>
    </xf>
    <xf numFmtId="49" fontId="4" fillId="0" borderId="0" xfId="1" applyNumberFormat="1" applyFont="1" applyProtection="1">
      <protection locked="0"/>
    </xf>
    <xf numFmtId="49" fontId="4" fillId="0" borderId="0" xfId="1" applyNumberFormat="1" applyFont="1" applyAlignment="1" applyProtection="1">
      <alignment horizontal="center"/>
      <protection locked="0"/>
    </xf>
    <xf numFmtId="49" fontId="3" fillId="0" borderId="0" xfId="1" applyNumberFormat="1" applyFont="1" applyAlignment="1" applyProtection="1">
      <alignment horizontal="center"/>
      <protection locked="0"/>
    </xf>
    <xf numFmtId="49" fontId="2" fillId="0" borderId="5" xfId="1" applyNumberFormat="1" applyFont="1" applyBorder="1" applyProtection="1">
      <protection locked="0"/>
    </xf>
    <xf numFmtId="0" fontId="0" fillId="0" borderId="0" xfId="0" applyAlignment="1">
      <alignment horizontal="center"/>
    </xf>
    <xf numFmtId="0" fontId="11" fillId="6" borderId="24" xfId="7"/>
    <xf numFmtId="14" fontId="0" fillId="0" borderId="0" xfId="0" applyNumberFormat="1"/>
    <xf numFmtId="0" fontId="12" fillId="0" borderId="5" xfId="0" applyFont="1" applyBorder="1" applyAlignment="1">
      <alignment horizontal="center"/>
    </xf>
    <xf numFmtId="165" fontId="3" fillId="3" borderId="26" xfId="1" applyNumberFormat="1" applyFont="1" applyFill="1" applyBorder="1" applyAlignment="1" applyProtection="1">
      <alignment horizontal="center"/>
      <protection locked="0"/>
    </xf>
    <xf numFmtId="165" fontId="3" fillId="3" borderId="27" xfId="1" applyNumberFormat="1" applyFont="1" applyFill="1" applyBorder="1" applyAlignment="1" applyProtection="1">
      <alignment horizontal="center"/>
      <protection locked="0"/>
    </xf>
    <xf numFmtId="165" fontId="3" fillId="3" borderId="28" xfId="1" applyNumberFormat="1" applyFont="1" applyFill="1" applyBorder="1" applyAlignment="1" applyProtection="1">
      <alignment horizontal="center"/>
      <protection locked="0"/>
    </xf>
    <xf numFmtId="165" fontId="3" fillId="3" borderId="29" xfId="1" applyNumberFormat="1" applyFont="1" applyFill="1" applyBorder="1" applyAlignment="1" applyProtection="1">
      <alignment horizontal="center"/>
      <protection locked="0"/>
    </xf>
    <xf numFmtId="165" fontId="4" fillId="3" borderId="30" xfId="1" applyNumberFormat="1" applyFont="1" applyFill="1" applyBorder="1" applyAlignment="1">
      <alignment horizontal="center"/>
    </xf>
    <xf numFmtId="165" fontId="3" fillId="3" borderId="25" xfId="1" applyNumberFormat="1" applyFont="1" applyFill="1" applyBorder="1" applyAlignment="1" applyProtection="1">
      <alignment horizontal="center"/>
      <protection locked="0"/>
    </xf>
    <xf numFmtId="165" fontId="3" fillId="3" borderId="25" xfId="1" applyNumberFormat="1" applyFont="1" applyFill="1" applyBorder="1" applyAlignment="1">
      <alignment horizontal="center"/>
    </xf>
    <xf numFmtId="165" fontId="3" fillId="3" borderId="7" xfId="1" applyNumberFormat="1" applyFont="1" applyFill="1" applyBorder="1" applyAlignment="1" applyProtection="1">
      <alignment horizontal="center"/>
      <protection locked="0"/>
    </xf>
    <xf numFmtId="165" fontId="3" fillId="3" borderId="11" xfId="1" applyNumberFormat="1" applyFont="1" applyFill="1" applyBorder="1" applyAlignment="1" applyProtection="1">
      <alignment horizontal="center"/>
      <protection locked="0"/>
    </xf>
    <xf numFmtId="165" fontId="3" fillId="3" borderId="31" xfId="1" applyNumberFormat="1" applyFont="1" applyFill="1" applyBorder="1" applyAlignment="1" applyProtection="1">
      <alignment horizontal="center"/>
      <protection locked="0"/>
    </xf>
    <xf numFmtId="165" fontId="3" fillId="3" borderId="32" xfId="1" applyNumberFormat="1" applyFont="1" applyFill="1" applyBorder="1" applyAlignment="1" applyProtection="1">
      <alignment horizontal="center"/>
      <protection locked="0"/>
    </xf>
    <xf numFmtId="0" fontId="4" fillId="3" borderId="30" xfId="1" applyFont="1" applyFill="1" applyBorder="1" applyAlignment="1" applyProtection="1">
      <alignment horizontal="center" shrinkToFit="1"/>
      <protection locked="0"/>
    </xf>
    <xf numFmtId="0" fontId="4" fillId="3" borderId="25" xfId="1" applyFont="1" applyFill="1" applyBorder="1" applyAlignment="1" applyProtection="1">
      <alignment horizontal="center" shrinkToFit="1"/>
      <protection locked="0"/>
    </xf>
    <xf numFmtId="164" fontId="2" fillId="8" borderId="9" xfId="1" applyNumberFormat="1" applyFont="1" applyFill="1" applyBorder="1" applyAlignment="1" applyProtection="1">
      <alignment horizontal="center" shrinkToFit="1"/>
      <protection locked="0"/>
    </xf>
    <xf numFmtId="49" fontId="2" fillId="8" borderId="10" xfId="1" applyNumberFormat="1" applyFont="1" applyFill="1" applyBorder="1" applyAlignment="1" applyProtection="1">
      <alignment horizontal="center"/>
      <protection locked="0"/>
    </xf>
    <xf numFmtId="164" fontId="2" fillId="8" borderId="13" xfId="1" applyNumberFormat="1" applyFont="1" applyFill="1" applyBorder="1" applyAlignment="1" applyProtection="1">
      <alignment horizontal="center" shrinkToFit="1"/>
      <protection locked="0"/>
    </xf>
    <xf numFmtId="49" fontId="2" fillId="8" borderId="14" xfId="1" applyNumberFormat="1" applyFont="1" applyFill="1" applyBorder="1" applyAlignment="1" applyProtection="1">
      <alignment horizontal="center"/>
      <protection locked="0"/>
    </xf>
    <xf numFmtId="14" fontId="3" fillId="9" borderId="33" xfId="0" applyNumberFormat="1" applyFont="1" applyFill="1" applyBorder="1" applyAlignment="1">
      <alignment vertical="top" wrapText="1"/>
    </xf>
    <xf numFmtId="164" fontId="2" fillId="0" borderId="34" xfId="1" applyNumberFormat="1" applyFont="1" applyBorder="1" applyAlignment="1" applyProtection="1">
      <alignment horizontal="right" shrinkToFit="1"/>
      <protection locked="0"/>
    </xf>
    <xf numFmtId="165" fontId="3" fillId="3" borderId="16" xfId="1" applyNumberFormat="1" applyFont="1" applyFill="1" applyBorder="1" applyAlignment="1">
      <alignment horizontal="center"/>
    </xf>
    <xf numFmtId="165" fontId="4" fillId="3" borderId="25" xfId="1" applyNumberFormat="1" applyFont="1" applyFill="1" applyBorder="1" applyAlignment="1">
      <alignment horizontal="center"/>
    </xf>
    <xf numFmtId="0" fontId="4" fillId="3" borderId="35" xfId="1" applyFont="1" applyFill="1" applyBorder="1" applyAlignment="1" applyProtection="1">
      <alignment horizontal="center" shrinkToFit="1"/>
      <protection locked="0"/>
    </xf>
    <xf numFmtId="0" fontId="4" fillId="3" borderId="36" xfId="1" applyFont="1" applyFill="1" applyBorder="1" applyAlignment="1" applyProtection="1">
      <alignment horizontal="center" shrinkToFit="1"/>
      <protection locked="0"/>
    </xf>
    <xf numFmtId="0" fontId="4" fillId="3" borderId="9" xfId="1" applyFont="1" applyFill="1" applyBorder="1" applyAlignment="1" applyProtection="1">
      <alignment horizontal="center" shrinkToFit="1"/>
      <protection locked="0"/>
    </xf>
    <xf numFmtId="0" fontId="4" fillId="3" borderId="13" xfId="1" applyFont="1" applyFill="1" applyBorder="1" applyAlignment="1" applyProtection="1">
      <alignment horizontal="center" shrinkToFit="1"/>
      <protection locked="0"/>
    </xf>
    <xf numFmtId="165" fontId="3" fillId="10" borderId="19" xfId="1" applyNumberFormat="1" applyFont="1" applyFill="1" applyBorder="1" applyAlignment="1" applyProtection="1">
      <alignment horizontal="center"/>
      <protection locked="0"/>
    </xf>
    <xf numFmtId="0" fontId="4" fillId="10" borderId="9" xfId="1" applyFont="1" applyFill="1" applyBorder="1" applyAlignment="1" applyProtection="1">
      <alignment horizontal="center" shrinkToFit="1"/>
      <protection locked="0"/>
    </xf>
    <xf numFmtId="165" fontId="3" fillId="10" borderId="10" xfId="1" applyNumberFormat="1" applyFont="1" applyFill="1" applyBorder="1" applyAlignment="1" applyProtection="1">
      <alignment horizontal="center"/>
      <protection locked="0"/>
    </xf>
    <xf numFmtId="165" fontId="2" fillId="10" borderId="10" xfId="1" applyNumberFormat="1" applyFont="1" applyFill="1" applyBorder="1" applyAlignment="1" applyProtection="1">
      <alignment horizontal="center"/>
      <protection locked="0"/>
    </xf>
    <xf numFmtId="165" fontId="3" fillId="10" borderId="27" xfId="1" applyNumberFormat="1" applyFont="1" applyFill="1" applyBorder="1" applyAlignment="1" applyProtection="1">
      <alignment horizontal="center"/>
      <protection locked="0"/>
    </xf>
    <xf numFmtId="165" fontId="4" fillId="10" borderId="30" xfId="1" applyNumberFormat="1" applyFont="1" applyFill="1" applyBorder="1" applyAlignment="1">
      <alignment horizontal="center"/>
    </xf>
    <xf numFmtId="49" fontId="2" fillId="8" borderId="10" xfId="1" applyNumberFormat="1" applyFont="1" applyFill="1" applyBorder="1" applyAlignment="1" applyProtection="1">
      <alignment horizontal="center"/>
      <protection locked="0"/>
    </xf>
    <xf numFmtId="0" fontId="0" fillId="8" borderId="11" xfId="0" applyFill="1" applyBorder="1" applyProtection="1">
      <protection locked="0"/>
    </xf>
    <xf numFmtId="0" fontId="0" fillId="8" borderId="12" xfId="0" applyFill="1" applyBorder="1" applyProtection="1">
      <protection locked="0"/>
    </xf>
    <xf numFmtId="49" fontId="2" fillId="8" borderId="21" xfId="1" applyNumberFormat="1" applyFont="1" applyFill="1" applyBorder="1" applyAlignment="1" applyProtection="1">
      <alignment horizontal="center" wrapText="1"/>
      <protection locked="0"/>
    </xf>
    <xf numFmtId="0" fontId="12" fillId="8" borderId="15" xfId="0" applyFont="1" applyFill="1" applyBorder="1" applyProtection="1">
      <protection locked="0"/>
    </xf>
    <xf numFmtId="49" fontId="2" fillId="0" borderId="22" xfId="1" applyNumberFormat="1" applyFont="1" applyBorder="1" applyAlignment="1" applyProtection="1">
      <alignment horizontal="center" wrapText="1"/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2" fillId="0" borderId="23" xfId="1" applyFont="1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0" fontId="2" fillId="0" borderId="0" xfId="1" applyFont="1" applyAlignment="1" applyProtection="1">
      <alignment wrapText="1"/>
      <protection locked="0"/>
    </xf>
    <xf numFmtId="164" fontId="2" fillId="0" borderId="5" xfId="1" applyNumberFormat="1" applyFont="1" applyBorder="1" applyAlignment="1" applyProtection="1">
      <alignment horizontal="center" shrinkToFit="1"/>
      <protection locked="0"/>
    </xf>
    <xf numFmtId="0" fontId="12" fillId="0" borderId="5" xfId="0" applyFont="1" applyBorder="1" applyAlignment="1" applyProtection="1">
      <alignment horizontal="left"/>
      <protection locked="0"/>
    </xf>
    <xf numFmtId="164" fontId="2" fillId="7" borderId="18" xfId="1" applyNumberFormat="1" applyFont="1" applyFill="1" applyBorder="1" applyAlignment="1" applyProtection="1">
      <alignment horizontal="center" shrinkToFit="1"/>
      <protection locked="0"/>
    </xf>
    <xf numFmtId="0" fontId="3" fillId="7" borderId="6" xfId="0" applyFont="1" applyFill="1" applyBorder="1" applyProtection="1">
      <protection locked="0"/>
    </xf>
    <xf numFmtId="0" fontId="3" fillId="7" borderId="7" xfId="0" applyFont="1" applyFill="1" applyBorder="1" applyProtection="1">
      <protection locked="0"/>
    </xf>
    <xf numFmtId="49" fontId="2" fillId="2" borderId="20" xfId="1" applyNumberFormat="1" applyFont="1" applyFill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9" fillId="0" borderId="10" xfId="1" applyFont="1" applyBorder="1" applyAlignment="1">
      <alignment horizontal="center" wrapText="1"/>
    </xf>
    <xf numFmtId="0" fontId="0" fillId="0" borderId="12" xfId="0" applyBorder="1"/>
    <xf numFmtId="0" fontId="0" fillId="0" borderId="11" xfId="0" applyBorder="1"/>
    <xf numFmtId="0" fontId="8" fillId="5" borderId="0" xfId="0" applyFont="1" applyFill="1" applyAlignment="1">
      <alignment horizontal="center"/>
    </xf>
    <xf numFmtId="0" fontId="0" fillId="0" borderId="0" xfId="0"/>
  </cellXfs>
  <cellStyles count="8">
    <cellStyle name="Barevné pozadí" xfId="3" xr:uid="{00000000-0005-0000-0000-000003000000}"/>
    <cellStyle name="Normální" xfId="0" builtinId="0"/>
    <cellStyle name="normální 2" xfId="1" xr:uid="{00000000-0005-0000-0000-000001000000}"/>
    <cellStyle name="Normální 3" xfId="2" xr:uid="{00000000-0005-0000-0000-000002000000}"/>
    <cellStyle name="Normální 4" xfId="4" xr:uid="{00000000-0005-0000-0000-000004000000}"/>
    <cellStyle name="normální 47" xfId="6" xr:uid="{00000000-0005-0000-0000-000006000000}"/>
    <cellStyle name="Normální 5" xfId="5" xr:uid="{00000000-0005-0000-0000-000005000000}"/>
    <cellStyle name="Vstup" xfId="7" builtinId="20"/>
  </cellStyles>
  <dxfs count="19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5" tint="0.79998168889431442"/>
        </patternFill>
      </fill>
    </dxf>
    <dxf>
      <font>
        <strike/>
        <color theme="0"/>
      </font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5" tint="0.79998168889431442"/>
        </patternFill>
      </fill>
    </dxf>
    <dxf>
      <font>
        <strike/>
        <color theme="0"/>
      </font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5" tint="0.79998168889431442"/>
        </patternFill>
      </fill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1D7634-D1F7-4C25-BFDA-FA0AD43D7365}" name="Tabulka16" displayName="Tabulka16" ref="O7:Q38" totalsRowShown="0">
  <autoFilter ref="O7:Q38" xr:uid="{AB1D7634-D1F7-4C25-BFDA-FA0AD43D7365}"/>
  <tableColumns count="3">
    <tableColumn id="1" xr3:uid="{EE92BA0C-839E-495A-B1C5-57C106FE33B1}" name="Svátky" dataDxfId="15">
      <calculatedColumnFormula>A8</calculatedColumnFormula>
    </tableColumn>
    <tableColumn id="2" xr3:uid="{DA36DC9D-8654-46BD-A7BA-2BC175E77048}" name="Vyhledáno v číselníku?" dataDxfId="14">
      <calculatedColumnFormula>IFERROR(VLOOKUP(Tabulka16[[#This Row],[Svátky]],Tabulka15[Svátky],1,FALSE),0)</calculatedColumnFormula>
    </tableColumn>
    <tableColumn id="3" xr3:uid="{599DA3F3-E12D-4056-AA52-B4F5E9151113}" name="Úprava" dataDxfId="13">
      <calculatedColumnFormula>IF(Tabulka16[[#This Row],[Vyhledáno v číselníku?]],"Svátek","Všední den")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24C8CB-BE87-446E-AD23-D84B34C53967}" name="Tabulka166" displayName="Tabulka166" ref="O7:Q38" totalsRowShown="0">
  <autoFilter ref="O7:Q38" xr:uid="{AB1D7634-D1F7-4C25-BFDA-FA0AD43D7365}"/>
  <tableColumns count="3">
    <tableColumn id="1" xr3:uid="{005F907A-FF4F-4CDD-81CF-47F64A6609F9}" name="Svátky" dataDxfId="18">
      <calculatedColumnFormula>A8</calculatedColumnFormula>
    </tableColumn>
    <tableColumn id="2" xr3:uid="{8E8B151F-9540-42E8-A8D1-A3AA4EB872AC}" name="Vyhledáno v číselníku?" dataDxfId="17">
      <calculatedColumnFormula>IFERROR(VLOOKUP(Tabulka166[[#This Row],[Svátky]],Tabulka15[Svátky],1,FALSE),0)</calculatedColumnFormula>
    </tableColumn>
    <tableColumn id="3" xr3:uid="{B74B295D-0DD5-468D-B796-9203AE124D9A}" name="Úprava" dataDxfId="16">
      <calculatedColumnFormula>IF(Tabulka166[[#This Row],[Vyhledáno v číselníku?]],"Svátek","Všední den")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066C4-9700-48F5-8F37-3FDBDF5F8FBD}" name="Tabulka12" displayName="Tabulka12" ref="A1:C13" totalsRowShown="0">
  <autoFilter ref="A1:C13" xr:uid="{D2A066C4-9700-48F5-8F37-3FDBDF5F8FBD}"/>
  <tableColumns count="3">
    <tableColumn id="1" xr3:uid="{F92BC58A-AE0D-4A1E-84A7-AFC2FBD5170A}" name="Měsíc"/>
    <tableColumn id="2" xr3:uid="{00C13574-110B-4F9D-9CF1-843A6ED910A7}" name="Pořádové číslo" dataDxfId="12"/>
    <tableColumn id="3" xr3:uid="{8D03901F-BBD5-428C-93DF-B47D8381872C}" name="Rok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2F45D9-5191-4941-B3AC-457CBBA92512}" name="Tabulka15" displayName="Tabulka15" ref="V1:V118" totalsRowShown="0" headerRowCellStyle="Vstup">
  <autoFilter ref="V1:V118" xr:uid="{B62F45D9-5191-4941-B3AC-457CBBA92512}"/>
  <sortState xmlns:xlrd2="http://schemas.microsoft.com/office/spreadsheetml/2017/richdata2" ref="V2:V14">
    <sortCondition ref="V1:V14"/>
  </sortState>
  <tableColumns count="1">
    <tableColumn id="1" xr3:uid="{C340F50F-7678-4728-AB5E-046E76E78BF8}" name="Svátky" dataDxfId="1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925D7F-8DC4-4D53-9971-5AADC1A4E0F9}" name="Tabulka124" displayName="Tabulka124" ref="P1:R13" totalsRowShown="0">
  <autoFilter ref="P1:R13" xr:uid="{40925D7F-8DC4-4D53-9971-5AADC1A4E0F9}"/>
  <tableColumns count="3">
    <tableColumn id="1" xr3:uid="{E7207EED-ADFB-4487-BD8D-A458DFBC6F3F}" name="Měsíc"/>
    <tableColumn id="2" xr3:uid="{CB714DFC-0428-44EF-8941-30B0C5940CCF}" name="Pořádové číslo"/>
    <tableColumn id="3" xr3:uid="{E810F9BA-C6BC-44B1-844F-640B3D4ED4BE}" name="Ro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6"/>
  <sheetViews>
    <sheetView workbookViewId="0">
      <selection activeCell="E6" sqref="E6"/>
    </sheetView>
  </sheetViews>
  <sheetFormatPr defaultRowHeight="14.4" x14ac:dyDescent="0.3"/>
  <cols>
    <col min="1" max="1" width="26.44140625" customWidth="1"/>
    <col min="2" max="2" width="29.109375" bestFit="1" customWidth="1"/>
    <col min="3" max="3" width="39.21875" customWidth="1"/>
  </cols>
  <sheetData>
    <row r="3" spans="1:11" ht="15.75" customHeight="1" x14ac:dyDescent="0.3">
      <c r="A3" s="100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2"/>
    </row>
    <row r="7" spans="1:11" ht="15.75" customHeight="1" x14ac:dyDescent="0.3">
      <c r="A7" s="103" t="s">
        <v>1</v>
      </c>
      <c r="B7" s="104"/>
    </row>
    <row r="8" spans="1:11" x14ac:dyDescent="0.3">
      <c r="A8" s="2" t="s">
        <v>2</v>
      </c>
      <c r="B8" s="1" t="s">
        <v>3</v>
      </c>
      <c r="C8" s="3" t="s">
        <v>4</v>
      </c>
      <c r="D8" s="3"/>
      <c r="E8" s="3"/>
      <c r="F8" s="3"/>
      <c r="G8" s="4"/>
      <c r="H8" s="3"/>
    </row>
    <row r="9" spans="1:11" x14ac:dyDescent="0.3">
      <c r="A9" s="2" t="s">
        <v>5</v>
      </c>
      <c r="B9" s="1" t="s">
        <v>6</v>
      </c>
      <c r="C9" s="3" t="s">
        <v>4</v>
      </c>
    </row>
    <row r="10" spans="1:11" x14ac:dyDescent="0.3">
      <c r="A10" s="2" t="s">
        <v>7</v>
      </c>
      <c r="B10" s="1" t="s">
        <v>8</v>
      </c>
      <c r="C10" s="3" t="s">
        <v>4</v>
      </c>
    </row>
    <row r="11" spans="1:11" x14ac:dyDescent="0.3">
      <c r="A11" s="2" t="s">
        <v>9</v>
      </c>
      <c r="B11" s="6" t="s">
        <v>10</v>
      </c>
      <c r="C11" s="3" t="s">
        <v>4</v>
      </c>
    </row>
    <row r="12" spans="1:11" x14ac:dyDescent="0.3">
      <c r="A12" s="2" t="s">
        <v>11</v>
      </c>
      <c r="B12" s="1" t="s">
        <v>12</v>
      </c>
      <c r="C12" s="3" t="s">
        <v>4</v>
      </c>
    </row>
    <row r="13" spans="1:11" x14ac:dyDescent="0.3">
      <c r="A13" s="2" t="s">
        <v>13</v>
      </c>
      <c r="B13" s="1" t="s">
        <v>14</v>
      </c>
      <c r="C13" s="3" t="s">
        <v>4</v>
      </c>
    </row>
    <row r="14" spans="1:11" x14ac:dyDescent="0.3">
      <c r="A14" s="2"/>
      <c r="B14" s="1"/>
      <c r="C14" s="1"/>
    </row>
    <row r="15" spans="1:11" x14ac:dyDescent="0.3">
      <c r="A15" s="7" t="s">
        <v>15</v>
      </c>
      <c r="B15" s="1"/>
      <c r="C15" s="1"/>
      <c r="D15" s="3"/>
      <c r="E15" s="3"/>
      <c r="F15" s="3"/>
      <c r="G15" s="4"/>
      <c r="H15" s="3"/>
    </row>
    <row r="16" spans="1:11" x14ac:dyDescent="0.3">
      <c r="A16" s="2" t="s">
        <v>16</v>
      </c>
      <c r="B16" s="1" t="s">
        <v>17</v>
      </c>
      <c r="C16" s="3" t="s">
        <v>18</v>
      </c>
      <c r="D16" s="3"/>
      <c r="E16" s="3"/>
      <c r="F16" s="3"/>
      <c r="G16" s="4"/>
      <c r="H16" s="3"/>
    </row>
    <row r="17" spans="1:8" x14ac:dyDescent="0.3">
      <c r="A17" s="2" t="s">
        <v>19</v>
      </c>
      <c r="B17" s="1" t="s">
        <v>20</v>
      </c>
      <c r="C17" s="3" t="s">
        <v>18</v>
      </c>
      <c r="D17" s="3"/>
      <c r="E17" s="3"/>
      <c r="F17" s="3"/>
      <c r="G17" s="4"/>
      <c r="H17" s="3"/>
    </row>
    <row r="18" spans="1:8" x14ac:dyDescent="0.3">
      <c r="A18" s="2" t="s">
        <v>21</v>
      </c>
      <c r="B18" s="1" t="s">
        <v>22</v>
      </c>
      <c r="C18" s="3" t="s">
        <v>18</v>
      </c>
      <c r="D18" s="3"/>
      <c r="E18" s="3"/>
      <c r="F18" s="3"/>
      <c r="G18" s="4"/>
      <c r="H18" s="3"/>
    </row>
    <row r="19" spans="1:8" x14ac:dyDescent="0.3">
      <c r="A19" s="2" t="s">
        <v>23</v>
      </c>
      <c r="B19" s="1" t="s">
        <v>24</v>
      </c>
      <c r="C19" s="3" t="s">
        <v>18</v>
      </c>
      <c r="D19" s="3"/>
      <c r="E19" s="3"/>
      <c r="F19" s="3"/>
      <c r="G19" s="4"/>
      <c r="H19" s="3"/>
    </row>
    <row r="20" spans="1:8" x14ac:dyDescent="0.3">
      <c r="A20" s="2" t="s">
        <v>25</v>
      </c>
      <c r="B20" s="1" t="s">
        <v>26</v>
      </c>
      <c r="C20" s="3" t="s">
        <v>18</v>
      </c>
      <c r="D20" s="3"/>
      <c r="E20" s="3"/>
      <c r="F20" s="3"/>
      <c r="G20" s="4"/>
      <c r="H20" s="3"/>
    </row>
    <row r="21" spans="1:8" x14ac:dyDescent="0.3">
      <c r="A21" s="2" t="s">
        <v>27</v>
      </c>
      <c r="B21" s="1" t="s">
        <v>28</v>
      </c>
      <c r="C21" s="3" t="s">
        <v>18</v>
      </c>
    </row>
    <row r="22" spans="1:8" x14ac:dyDescent="0.3">
      <c r="A22" s="1"/>
      <c r="B22" s="1"/>
    </row>
    <row r="23" spans="1:8" x14ac:dyDescent="0.3">
      <c r="A23" s="1"/>
      <c r="B23" s="1"/>
    </row>
    <row r="24" spans="1:8" x14ac:dyDescent="0.3">
      <c r="A24" s="1"/>
      <c r="B24" s="1"/>
    </row>
    <row r="25" spans="1:8" x14ac:dyDescent="0.3">
      <c r="A25" s="1"/>
      <c r="B25" s="1"/>
    </row>
    <row r="26" spans="1:8" x14ac:dyDescent="0.3">
      <c r="A26" s="1"/>
      <c r="B26" s="1"/>
    </row>
  </sheetData>
  <mergeCells count="2">
    <mergeCell ref="A3:K3"/>
    <mergeCell ref="A7:B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3"/>
  <sheetViews>
    <sheetView showGridLines="0" topLeftCell="C6" zoomScaleNormal="100" workbookViewId="0">
      <selection activeCell="AB11" sqref="AB11"/>
    </sheetView>
  </sheetViews>
  <sheetFormatPr defaultRowHeight="14.4" x14ac:dyDescent="0.3"/>
  <cols>
    <col min="1" max="1" width="12.109375" hidden="1" customWidth="1"/>
    <col min="2" max="2" width="10.5546875" hidden="1" customWidth="1"/>
    <col min="4" max="4" width="10.109375" bestFit="1" customWidth="1"/>
    <col min="11" max="11" width="12.6640625" customWidth="1"/>
    <col min="12" max="12" width="11.5546875" customWidth="1"/>
    <col min="13" max="13" width="13.109375" customWidth="1"/>
    <col min="14" max="14" width="20.5546875" hidden="1" customWidth="1"/>
    <col min="15" max="15" width="22.88671875" hidden="1" customWidth="1"/>
    <col min="16" max="16" width="32.44140625" hidden="1" customWidth="1"/>
    <col min="17" max="17" width="46.44140625" hidden="1" customWidth="1"/>
    <col min="18" max="18" width="0" hidden="1" customWidth="1"/>
    <col min="19" max="19" width="28.5546875" hidden="1" customWidth="1"/>
  </cols>
  <sheetData>
    <row r="1" spans="1:19" x14ac:dyDescent="0.3">
      <c r="C1" s="85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9" x14ac:dyDescent="0.3">
      <c r="C2" s="88" t="s">
        <v>0</v>
      </c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1:19" x14ac:dyDescent="0.3">
      <c r="C3" s="8"/>
      <c r="D3" s="91"/>
      <c r="E3" s="89"/>
      <c r="F3" s="89"/>
      <c r="G3" s="89"/>
      <c r="H3" s="9"/>
      <c r="I3" s="9"/>
      <c r="J3" s="10"/>
      <c r="K3" s="9"/>
      <c r="L3" s="9"/>
      <c r="M3" s="11"/>
    </row>
    <row r="4" spans="1:19" ht="15.75" customHeight="1" thickBot="1" x14ac:dyDescent="0.35">
      <c r="C4" s="67" t="s">
        <v>84</v>
      </c>
      <c r="D4" s="92" t="s">
        <v>88</v>
      </c>
      <c r="E4" s="92"/>
      <c r="F4" s="93" t="s">
        <v>89</v>
      </c>
      <c r="G4" s="93"/>
      <c r="H4" s="12" t="s">
        <v>29</v>
      </c>
      <c r="I4" s="44" t="s">
        <v>85</v>
      </c>
      <c r="J4" s="48">
        <f>+VLOOKUP(I4,Číselník!P2:Q13,2,FALSE)</f>
        <v>6</v>
      </c>
      <c r="K4" s="13">
        <v>2025</v>
      </c>
      <c r="L4" s="14" t="s">
        <v>90</v>
      </c>
      <c r="M4" s="15"/>
    </row>
    <row r="5" spans="1:19" x14ac:dyDescent="0.3">
      <c r="C5" s="94" t="s">
        <v>30</v>
      </c>
      <c r="D5" s="95"/>
      <c r="E5" s="96"/>
      <c r="F5" s="97"/>
      <c r="G5" s="98"/>
      <c r="H5" s="98"/>
      <c r="I5" s="98"/>
      <c r="J5" s="98"/>
      <c r="K5" s="98"/>
      <c r="L5" s="98"/>
      <c r="M5" s="99"/>
    </row>
    <row r="6" spans="1:19" ht="15" thickBot="1" x14ac:dyDescent="0.35">
      <c r="C6" s="62" t="s">
        <v>31</v>
      </c>
      <c r="D6" s="63" t="s">
        <v>32</v>
      </c>
      <c r="E6" s="63" t="s">
        <v>33</v>
      </c>
      <c r="F6" s="80" t="s">
        <v>34</v>
      </c>
      <c r="G6" s="81"/>
      <c r="H6" s="80" t="s">
        <v>35</v>
      </c>
      <c r="I6" s="81"/>
      <c r="J6" s="80" t="s">
        <v>36</v>
      </c>
      <c r="K6" s="82"/>
      <c r="L6" s="81"/>
      <c r="M6" s="83" t="s">
        <v>37</v>
      </c>
    </row>
    <row r="7" spans="1:19" ht="15.75" customHeight="1" thickBot="1" x14ac:dyDescent="0.35">
      <c r="C7" s="64"/>
      <c r="D7" s="65"/>
      <c r="E7" s="65"/>
      <c r="F7" s="65" t="s">
        <v>38</v>
      </c>
      <c r="G7" s="65" t="s">
        <v>39</v>
      </c>
      <c r="H7" s="65" t="s">
        <v>38</v>
      </c>
      <c r="I7" s="65" t="s">
        <v>39</v>
      </c>
      <c r="J7" s="65" t="s">
        <v>40</v>
      </c>
      <c r="K7" s="65" t="s">
        <v>41</v>
      </c>
      <c r="L7" s="65" t="s">
        <v>39</v>
      </c>
      <c r="M7" s="84"/>
      <c r="O7" t="s">
        <v>77</v>
      </c>
      <c r="P7" t="s">
        <v>78</v>
      </c>
      <c r="Q7" t="s">
        <v>79</v>
      </c>
      <c r="S7">
        <f>DAY(DATE($K$4,$J$4+1,0))</f>
        <v>30</v>
      </c>
    </row>
    <row r="8" spans="1:19" ht="15.75" customHeight="1" thickBot="1" x14ac:dyDescent="0.35">
      <c r="A8" s="47">
        <f t="shared" ref="A8:A38" si="0">+DATE($K$4,$J$4,C8)</f>
        <v>45809</v>
      </c>
      <c r="B8" t="str">
        <f>+TEXT(A8,"ddd")</f>
        <v>ne</v>
      </c>
      <c r="C8" s="60">
        <v>1</v>
      </c>
      <c r="D8" s="56"/>
      <c r="E8" s="16"/>
      <c r="F8" s="16"/>
      <c r="G8" s="16"/>
      <c r="H8" s="16"/>
      <c r="I8" s="16"/>
      <c r="J8" s="17"/>
      <c r="K8" s="16"/>
      <c r="L8" s="49"/>
      <c r="M8" s="53">
        <f>(E8-D8)-(I8-H8)+(L8-K8)</f>
        <v>0</v>
      </c>
      <c r="O8" s="47">
        <f t="shared" ref="O8:O38" si="1">A8</f>
        <v>45809</v>
      </c>
      <c r="P8" s="47">
        <f ca="1">IFERROR(VLOOKUP(Tabulka16[[#This Row],[Svátky]],Tabulka15[Svátky],1,FALSE),0)</f>
        <v>0</v>
      </c>
      <c r="Q8" s="47" t="str">
        <f ca="1">IF(Tabulka16[[#This Row],[Vyhledáno v číselníku?]],"Svátek","Všední den")</f>
        <v>Všední den</v>
      </c>
    </row>
    <row r="9" spans="1:19" ht="15.75" customHeight="1" thickBot="1" x14ac:dyDescent="0.35">
      <c r="A9" s="47">
        <f t="shared" si="0"/>
        <v>45810</v>
      </c>
      <c r="B9" t="str">
        <f t="shared" ref="B9:B38" si="2">+TEXT(A9,"ddd")</f>
        <v>po</v>
      </c>
      <c r="C9" s="60">
        <v>2</v>
      </c>
      <c r="D9" s="57"/>
      <c r="E9" s="18"/>
      <c r="F9" s="18"/>
      <c r="G9" s="18"/>
      <c r="H9" s="18"/>
      <c r="I9" s="18"/>
      <c r="J9" s="19" t="s">
        <v>91</v>
      </c>
      <c r="K9" s="18"/>
      <c r="L9" s="50"/>
      <c r="M9" s="53">
        <f t="shared" ref="M9:M38" si="3">(E9-D9)-(I9-H9)+(L9-K9)</f>
        <v>0</v>
      </c>
      <c r="O9" s="47">
        <f t="shared" si="1"/>
        <v>45810</v>
      </c>
      <c r="P9" s="47">
        <f ca="1">IFERROR(VLOOKUP(Tabulka16[[#This Row],[Svátky]],Tabulka15[Svátky],1,FALSE),0)</f>
        <v>0</v>
      </c>
      <c r="Q9" s="47" t="str">
        <f ca="1">IF(Tabulka16[[#This Row],[Vyhledáno v číselníku?]],"Svátek","Všední den")</f>
        <v>Všední den</v>
      </c>
    </row>
    <row r="10" spans="1:19" ht="15.75" customHeight="1" thickBot="1" x14ac:dyDescent="0.35">
      <c r="A10" s="47">
        <f t="shared" si="0"/>
        <v>45811</v>
      </c>
      <c r="B10" t="str">
        <f t="shared" si="2"/>
        <v>út</v>
      </c>
      <c r="C10" s="60">
        <v>3</v>
      </c>
      <c r="D10" s="57"/>
      <c r="E10" s="18"/>
      <c r="F10" s="18"/>
      <c r="G10" s="18"/>
      <c r="H10" s="18">
        <v>0.5</v>
      </c>
      <c r="I10" s="18">
        <v>0.52083333333333337</v>
      </c>
      <c r="J10" s="19" t="s">
        <v>92</v>
      </c>
      <c r="K10" s="18">
        <v>0.33333333333333331</v>
      </c>
      <c r="L10" s="50">
        <v>0.6875</v>
      </c>
      <c r="M10" s="53">
        <f t="shared" si="3"/>
        <v>0.33333333333333331</v>
      </c>
      <c r="O10" s="47">
        <f t="shared" si="1"/>
        <v>45811</v>
      </c>
      <c r="P10" s="47">
        <f ca="1">IFERROR(VLOOKUP(Tabulka16[[#This Row],[Svátky]],Tabulka15[Svátky],1,FALSE),0)</f>
        <v>0</v>
      </c>
      <c r="Q10" s="47" t="str">
        <f ca="1">IF(Tabulka16[[#This Row],[Vyhledáno v číselníku?]],"Svátek","Všední den")</f>
        <v>Všední den</v>
      </c>
    </row>
    <row r="11" spans="1:19" ht="15.75" customHeight="1" thickBot="1" x14ac:dyDescent="0.35">
      <c r="A11" s="47">
        <f t="shared" si="0"/>
        <v>45812</v>
      </c>
      <c r="B11" t="str">
        <f t="shared" si="2"/>
        <v>st</v>
      </c>
      <c r="C11" s="60">
        <v>4</v>
      </c>
      <c r="D11" s="57"/>
      <c r="E11" s="18"/>
      <c r="F11" s="18"/>
      <c r="G11" s="18"/>
      <c r="H11" s="18">
        <v>0.5</v>
      </c>
      <c r="I11" s="18">
        <v>0.52083333333333337</v>
      </c>
      <c r="J11" s="19" t="s">
        <v>92</v>
      </c>
      <c r="K11" s="18">
        <v>0.33333333333333331</v>
      </c>
      <c r="L11" s="50">
        <v>0.6875</v>
      </c>
      <c r="M11" s="53">
        <f t="shared" si="3"/>
        <v>0.33333333333333331</v>
      </c>
      <c r="O11" s="47">
        <f t="shared" si="1"/>
        <v>45812</v>
      </c>
      <c r="P11" s="47">
        <f ca="1">IFERROR(VLOOKUP(Tabulka16[[#This Row],[Svátky]],Tabulka15[Svátky],1,FALSE),0)</f>
        <v>0</v>
      </c>
      <c r="Q11" s="47" t="str">
        <f ca="1">IF(Tabulka16[[#This Row],[Vyhledáno v číselníku?]],"Svátek","Všední den")</f>
        <v>Všední den</v>
      </c>
    </row>
    <row r="12" spans="1:19" ht="15.75" customHeight="1" thickBot="1" x14ac:dyDescent="0.35">
      <c r="A12" s="47">
        <f t="shared" si="0"/>
        <v>45813</v>
      </c>
      <c r="B12" t="str">
        <f t="shared" si="2"/>
        <v>čt</v>
      </c>
      <c r="C12" s="60">
        <v>5</v>
      </c>
      <c r="D12" s="57"/>
      <c r="E12" s="18"/>
      <c r="F12" s="18"/>
      <c r="G12" s="18"/>
      <c r="H12" s="18">
        <v>0.5</v>
      </c>
      <c r="I12" s="18">
        <v>0.52083333333333337</v>
      </c>
      <c r="J12" s="19" t="s">
        <v>92</v>
      </c>
      <c r="K12" s="18">
        <v>0.33333333333333331</v>
      </c>
      <c r="L12" s="50">
        <v>0.6875</v>
      </c>
      <c r="M12" s="53">
        <f t="shared" si="3"/>
        <v>0.33333333333333331</v>
      </c>
      <c r="O12" s="47">
        <f t="shared" si="1"/>
        <v>45813</v>
      </c>
      <c r="P12" s="47">
        <f ca="1">IFERROR(VLOOKUP(Tabulka16[[#This Row],[Svátky]],Tabulka15[Svátky],1,FALSE),0)</f>
        <v>0</v>
      </c>
      <c r="Q12" s="47" t="str">
        <f ca="1">IF(Tabulka16[[#This Row],[Vyhledáno v číselníku?]],"Svátek","Všední den")</f>
        <v>Všední den</v>
      </c>
    </row>
    <row r="13" spans="1:19" ht="15.75" customHeight="1" thickBot="1" x14ac:dyDescent="0.35">
      <c r="A13" s="47">
        <f t="shared" si="0"/>
        <v>45814</v>
      </c>
      <c r="B13" t="str">
        <f t="shared" si="2"/>
        <v>pá</v>
      </c>
      <c r="C13" s="60">
        <v>6</v>
      </c>
      <c r="D13" s="57"/>
      <c r="E13" s="18"/>
      <c r="F13" s="18"/>
      <c r="G13" s="18"/>
      <c r="H13" s="18">
        <v>0.5</v>
      </c>
      <c r="I13" s="18">
        <v>0.52083333333333337</v>
      </c>
      <c r="J13" s="19" t="s">
        <v>92</v>
      </c>
      <c r="K13" s="18">
        <v>0.33333333333333331</v>
      </c>
      <c r="L13" s="50">
        <v>0.6875</v>
      </c>
      <c r="M13" s="53">
        <f t="shared" si="3"/>
        <v>0.33333333333333331</v>
      </c>
      <c r="O13" s="47">
        <f t="shared" si="1"/>
        <v>45814</v>
      </c>
      <c r="P13" s="47">
        <f ca="1">IFERROR(VLOOKUP(Tabulka16[[#This Row],[Svátky]],Tabulka15[Svátky],1,FALSE),0)</f>
        <v>0</v>
      </c>
      <c r="Q13" s="47" t="str">
        <f ca="1">IF(Tabulka16[[#This Row],[Vyhledáno v číselníku?]],"Svátek","Všední den")</f>
        <v>Všední den</v>
      </c>
    </row>
    <row r="14" spans="1:19" ht="15.75" customHeight="1" thickBot="1" x14ac:dyDescent="0.35">
      <c r="A14" s="47">
        <f t="shared" si="0"/>
        <v>45815</v>
      </c>
      <c r="B14" t="str">
        <f t="shared" si="2"/>
        <v>so</v>
      </c>
      <c r="C14" s="60">
        <v>7</v>
      </c>
      <c r="D14" s="57"/>
      <c r="E14" s="18"/>
      <c r="F14" s="18"/>
      <c r="G14" s="18"/>
      <c r="H14" s="18"/>
      <c r="I14" s="18"/>
      <c r="J14" s="19"/>
      <c r="K14" s="18"/>
      <c r="L14" s="50"/>
      <c r="M14" s="53">
        <f t="shared" si="3"/>
        <v>0</v>
      </c>
      <c r="O14" s="47">
        <f t="shared" si="1"/>
        <v>45815</v>
      </c>
      <c r="P14" s="47">
        <f ca="1">IFERROR(VLOOKUP(Tabulka16[[#This Row],[Svátky]],Tabulka15[Svátky],1,FALSE),0)</f>
        <v>0</v>
      </c>
      <c r="Q14" s="47" t="str">
        <f ca="1">IF(Tabulka16[[#This Row],[Vyhledáno v číselníku?]],"Svátek","Všední den")</f>
        <v>Všední den</v>
      </c>
    </row>
    <row r="15" spans="1:19" ht="15.75" customHeight="1" thickBot="1" x14ac:dyDescent="0.35">
      <c r="A15" s="47">
        <f t="shared" si="0"/>
        <v>45816</v>
      </c>
      <c r="B15" t="str">
        <f t="shared" si="2"/>
        <v>ne</v>
      </c>
      <c r="C15" s="60">
        <v>8</v>
      </c>
      <c r="D15" s="57"/>
      <c r="E15" s="18"/>
      <c r="F15" s="18"/>
      <c r="G15" s="18"/>
      <c r="H15" s="18"/>
      <c r="I15" s="18"/>
      <c r="J15" s="19"/>
      <c r="K15" s="18"/>
      <c r="L15" s="50"/>
      <c r="M15" s="53">
        <f t="shared" si="3"/>
        <v>0</v>
      </c>
      <c r="O15" s="47">
        <f t="shared" si="1"/>
        <v>45816</v>
      </c>
      <c r="P15" s="47">
        <f ca="1">IFERROR(VLOOKUP(Tabulka16[[#This Row],[Svátky]],Tabulka15[Svátky],1,FALSE),0)</f>
        <v>0</v>
      </c>
      <c r="Q15" s="47" t="str">
        <f ca="1">IF(Tabulka16[[#This Row],[Vyhledáno v číselníku?]],"Svátek","Všední den")</f>
        <v>Všední den</v>
      </c>
    </row>
    <row r="16" spans="1:19" ht="15.75" customHeight="1" thickBot="1" x14ac:dyDescent="0.35">
      <c r="A16" s="47">
        <f t="shared" si="0"/>
        <v>45817</v>
      </c>
      <c r="B16" t="str">
        <f t="shared" si="2"/>
        <v>po</v>
      </c>
      <c r="C16" s="60">
        <v>9</v>
      </c>
      <c r="D16" s="57"/>
      <c r="E16" s="18"/>
      <c r="F16" s="18"/>
      <c r="G16" s="18"/>
      <c r="H16" s="18"/>
      <c r="I16" s="18"/>
      <c r="J16" s="19" t="s">
        <v>91</v>
      </c>
      <c r="K16" s="18"/>
      <c r="L16" s="50"/>
      <c r="M16" s="53">
        <f t="shared" si="3"/>
        <v>0</v>
      </c>
      <c r="O16" s="47">
        <f t="shared" si="1"/>
        <v>45817</v>
      </c>
      <c r="P16" s="47">
        <f ca="1">IFERROR(VLOOKUP(Tabulka16[[#This Row],[Svátky]],Tabulka15[Svátky],1,FALSE),0)</f>
        <v>0</v>
      </c>
      <c r="Q16" s="47" t="str">
        <f ca="1">IF(Tabulka16[[#This Row],[Vyhledáno v číselníku?]],"Svátek","Všední den")</f>
        <v>Všední den</v>
      </c>
    </row>
    <row r="17" spans="1:17" ht="15.75" customHeight="1" thickBot="1" x14ac:dyDescent="0.35">
      <c r="A17" s="47">
        <f t="shared" si="0"/>
        <v>45818</v>
      </c>
      <c r="B17" t="str">
        <f t="shared" si="2"/>
        <v>út</v>
      </c>
      <c r="C17" s="60">
        <v>10</v>
      </c>
      <c r="D17" s="57">
        <v>0.3125</v>
      </c>
      <c r="E17" s="18">
        <v>0.66666666666666663</v>
      </c>
      <c r="F17" s="18"/>
      <c r="G17" s="18"/>
      <c r="H17" s="18">
        <v>0.5</v>
      </c>
      <c r="I17" s="18">
        <v>0.52083333333333337</v>
      </c>
      <c r="J17" s="19"/>
      <c r="K17" s="18"/>
      <c r="L17" s="50"/>
      <c r="M17" s="53">
        <f t="shared" si="3"/>
        <v>0.33333333333333326</v>
      </c>
      <c r="O17" s="47">
        <f t="shared" si="1"/>
        <v>45818</v>
      </c>
      <c r="P17" s="47">
        <f ca="1">IFERROR(VLOOKUP(Tabulka16[[#This Row],[Svátky]],Tabulka15[Svátky],1,FALSE),0)</f>
        <v>0</v>
      </c>
      <c r="Q17" s="47" t="str">
        <f ca="1">IF(Tabulka16[[#This Row],[Vyhledáno v číselníku?]],"Svátek","Všední den")</f>
        <v>Všední den</v>
      </c>
    </row>
    <row r="18" spans="1:17" ht="15.75" customHeight="1" thickBot="1" x14ac:dyDescent="0.35">
      <c r="A18" s="47">
        <f t="shared" si="0"/>
        <v>45819</v>
      </c>
      <c r="B18" t="str">
        <f t="shared" si="2"/>
        <v>st</v>
      </c>
      <c r="C18" s="60">
        <v>11</v>
      </c>
      <c r="D18" s="57">
        <v>0.33333333333333331</v>
      </c>
      <c r="E18" s="18">
        <v>0.6875</v>
      </c>
      <c r="F18" s="18"/>
      <c r="G18" s="18"/>
      <c r="H18" s="18">
        <v>0.5</v>
      </c>
      <c r="I18" s="18">
        <v>0.52083333333333337</v>
      </c>
      <c r="J18" s="19" t="s">
        <v>86</v>
      </c>
      <c r="K18" s="18"/>
      <c r="L18" s="50"/>
      <c r="M18" s="53">
        <f t="shared" si="3"/>
        <v>0.33333333333333331</v>
      </c>
      <c r="O18" s="47">
        <f t="shared" si="1"/>
        <v>45819</v>
      </c>
      <c r="P18" s="47">
        <f ca="1">IFERROR(VLOOKUP(Tabulka16[[#This Row],[Svátky]],Tabulka15[Svátky],1,FALSE),0)</f>
        <v>0</v>
      </c>
      <c r="Q18" s="47" t="str">
        <f ca="1">IF(Tabulka16[[#This Row],[Vyhledáno v číselníku?]],"Svátek","Všední den")</f>
        <v>Všední den</v>
      </c>
    </row>
    <row r="19" spans="1:17" ht="15.75" customHeight="1" thickBot="1" x14ac:dyDescent="0.35">
      <c r="A19" s="47">
        <f t="shared" si="0"/>
        <v>45820</v>
      </c>
      <c r="B19" t="str">
        <f t="shared" si="2"/>
        <v>čt</v>
      </c>
      <c r="C19" s="60">
        <v>12</v>
      </c>
      <c r="D19" s="57">
        <v>0.33333333333333331</v>
      </c>
      <c r="E19" s="18">
        <v>0.6875</v>
      </c>
      <c r="F19" s="18"/>
      <c r="G19" s="18"/>
      <c r="H19" s="18">
        <v>0.5</v>
      </c>
      <c r="I19" s="18">
        <v>0.52083333333333337</v>
      </c>
      <c r="J19" s="19"/>
      <c r="K19" s="18"/>
      <c r="L19" s="50"/>
      <c r="M19" s="53">
        <f t="shared" si="3"/>
        <v>0.33333333333333331</v>
      </c>
      <c r="O19" s="47">
        <f t="shared" si="1"/>
        <v>45820</v>
      </c>
      <c r="P19" s="47">
        <f ca="1">IFERROR(VLOOKUP(Tabulka16[[#This Row],[Svátky]],Tabulka15[Svátky],1,FALSE),0)</f>
        <v>0</v>
      </c>
      <c r="Q19" s="47" t="str">
        <f ca="1">IF(Tabulka16[[#This Row],[Vyhledáno v číselníku?]],"Svátek","Všední den")</f>
        <v>Všední den</v>
      </c>
    </row>
    <row r="20" spans="1:17" ht="15.75" customHeight="1" thickBot="1" x14ac:dyDescent="0.35">
      <c r="A20" s="47">
        <f t="shared" si="0"/>
        <v>45821</v>
      </c>
      <c r="B20" t="str">
        <f t="shared" si="2"/>
        <v>pá</v>
      </c>
      <c r="C20" s="60">
        <v>13</v>
      </c>
      <c r="D20" s="57">
        <v>0.33333333333333331</v>
      </c>
      <c r="E20" s="18">
        <v>0.6875</v>
      </c>
      <c r="F20" s="18"/>
      <c r="G20" s="18"/>
      <c r="H20" s="18">
        <v>0.5</v>
      </c>
      <c r="I20" s="18">
        <v>0.52083333333333337</v>
      </c>
      <c r="J20" s="19"/>
      <c r="K20" s="18"/>
      <c r="L20" s="50"/>
      <c r="M20" s="53">
        <f t="shared" si="3"/>
        <v>0.33333333333333331</v>
      </c>
      <c r="O20" s="47">
        <f t="shared" si="1"/>
        <v>45821</v>
      </c>
      <c r="P20" s="47">
        <f ca="1">IFERROR(VLOOKUP(Tabulka16[[#This Row],[Svátky]],Tabulka15[Svátky],1,FALSE),0)</f>
        <v>0</v>
      </c>
      <c r="Q20" s="47" t="str">
        <f ca="1">IF(Tabulka16[[#This Row],[Vyhledáno v číselníku?]],"Svátek","Všední den")</f>
        <v>Všední den</v>
      </c>
    </row>
    <row r="21" spans="1:17" ht="15.75" customHeight="1" thickBot="1" x14ac:dyDescent="0.35">
      <c r="A21" s="47">
        <f t="shared" si="0"/>
        <v>45822</v>
      </c>
      <c r="B21" t="str">
        <f t="shared" si="2"/>
        <v>so</v>
      </c>
      <c r="C21" s="60">
        <v>14</v>
      </c>
      <c r="D21" s="57"/>
      <c r="E21" s="18"/>
      <c r="F21" s="18"/>
      <c r="G21" s="18"/>
      <c r="H21" s="18"/>
      <c r="I21" s="18"/>
      <c r="J21" s="19"/>
      <c r="K21" s="18"/>
      <c r="L21" s="50"/>
      <c r="M21" s="53">
        <f t="shared" si="3"/>
        <v>0</v>
      </c>
      <c r="O21" s="47">
        <f t="shared" si="1"/>
        <v>45822</v>
      </c>
      <c r="P21" s="47">
        <f ca="1">IFERROR(VLOOKUP(Tabulka16[[#This Row],[Svátky]],Tabulka15[Svátky],1,FALSE),0)</f>
        <v>0</v>
      </c>
      <c r="Q21" s="47" t="str">
        <f ca="1">IF(Tabulka16[[#This Row],[Vyhledáno v číselníku?]],"Svátek","Všední den")</f>
        <v>Všední den</v>
      </c>
    </row>
    <row r="22" spans="1:17" ht="15.75" customHeight="1" thickBot="1" x14ac:dyDescent="0.35">
      <c r="A22" s="47">
        <f t="shared" si="0"/>
        <v>45823</v>
      </c>
      <c r="B22" t="str">
        <f t="shared" si="2"/>
        <v>ne</v>
      </c>
      <c r="C22" s="60">
        <v>15</v>
      </c>
      <c r="D22" s="57"/>
      <c r="E22" s="18"/>
      <c r="F22" s="18"/>
      <c r="G22" s="18"/>
      <c r="H22" s="18"/>
      <c r="I22" s="18"/>
      <c r="J22" s="19"/>
      <c r="K22" s="18"/>
      <c r="L22" s="50"/>
      <c r="M22" s="53">
        <f t="shared" si="3"/>
        <v>0</v>
      </c>
      <c r="O22" s="47">
        <f t="shared" si="1"/>
        <v>45823</v>
      </c>
      <c r="P22" s="47">
        <f ca="1">IFERROR(VLOOKUP(Tabulka16[[#This Row],[Svátky]],Tabulka15[Svátky],1,FALSE),0)</f>
        <v>0</v>
      </c>
      <c r="Q22" s="47" t="str">
        <f ca="1">IF(Tabulka16[[#This Row],[Vyhledáno v číselníku?]],"Svátek","Všední den")</f>
        <v>Všední den</v>
      </c>
    </row>
    <row r="23" spans="1:17" ht="15.75" customHeight="1" thickBot="1" x14ac:dyDescent="0.35">
      <c r="A23" s="47">
        <f t="shared" si="0"/>
        <v>45824</v>
      </c>
      <c r="B23" t="str">
        <f t="shared" si="2"/>
        <v>po</v>
      </c>
      <c r="C23" s="60">
        <v>16</v>
      </c>
      <c r="D23" s="57"/>
      <c r="E23" s="18"/>
      <c r="F23" s="18"/>
      <c r="G23" s="18"/>
      <c r="H23" s="18"/>
      <c r="I23" s="18"/>
      <c r="J23" s="19" t="s">
        <v>91</v>
      </c>
      <c r="K23" s="18"/>
      <c r="L23" s="50"/>
      <c r="M23" s="53">
        <f t="shared" si="3"/>
        <v>0</v>
      </c>
      <c r="O23" s="47">
        <f t="shared" si="1"/>
        <v>45824</v>
      </c>
      <c r="P23" s="47">
        <f ca="1">IFERROR(VLOOKUP(Tabulka16[[#This Row],[Svátky]],Tabulka15[Svátky],1,FALSE),0)</f>
        <v>0</v>
      </c>
      <c r="Q23" s="47" t="str">
        <f ca="1">IF(Tabulka16[[#This Row],[Vyhledáno v číselníku?]],"Svátek","Všední den")</f>
        <v>Všední den</v>
      </c>
    </row>
    <row r="24" spans="1:17" ht="15.75" customHeight="1" thickBot="1" x14ac:dyDescent="0.35">
      <c r="A24" s="47">
        <f t="shared" si="0"/>
        <v>45825</v>
      </c>
      <c r="B24" t="str">
        <f t="shared" si="2"/>
        <v>út</v>
      </c>
      <c r="C24" s="60">
        <v>17</v>
      </c>
      <c r="D24" s="57">
        <v>0.33333333333333331</v>
      </c>
      <c r="E24" s="18">
        <v>0.6875</v>
      </c>
      <c r="F24" s="18"/>
      <c r="G24" s="18"/>
      <c r="H24" s="18">
        <v>0.5</v>
      </c>
      <c r="I24" s="18">
        <v>0.52083333333333337</v>
      </c>
      <c r="J24" s="19"/>
      <c r="K24" s="18"/>
      <c r="L24" s="50"/>
      <c r="M24" s="53">
        <f t="shared" si="3"/>
        <v>0.33333333333333331</v>
      </c>
      <c r="O24" s="47">
        <f t="shared" si="1"/>
        <v>45825</v>
      </c>
      <c r="P24" s="47">
        <f ca="1">IFERROR(VLOOKUP(Tabulka16[[#This Row],[Svátky]],Tabulka15[Svátky],1,FALSE),0)</f>
        <v>0</v>
      </c>
      <c r="Q24" s="47" t="str">
        <f ca="1">IF(Tabulka16[[#This Row],[Vyhledáno v číselníku?]],"Svátek","Všední den")</f>
        <v>Všední den</v>
      </c>
    </row>
    <row r="25" spans="1:17" ht="15.75" customHeight="1" thickBot="1" x14ac:dyDescent="0.35">
      <c r="A25" s="47">
        <f t="shared" si="0"/>
        <v>45826</v>
      </c>
      <c r="B25" t="str">
        <f t="shared" si="2"/>
        <v>st</v>
      </c>
      <c r="C25" s="60">
        <v>18</v>
      </c>
      <c r="D25" s="57">
        <v>0.33333333333333331</v>
      </c>
      <c r="E25" s="18">
        <v>0.6875</v>
      </c>
      <c r="F25" s="18"/>
      <c r="G25" s="18"/>
      <c r="H25" s="18">
        <v>0.5</v>
      </c>
      <c r="I25" s="18">
        <v>0.52083333333333337</v>
      </c>
      <c r="J25" s="19"/>
      <c r="K25" s="18"/>
      <c r="L25" s="50"/>
      <c r="M25" s="53">
        <f t="shared" si="3"/>
        <v>0.33333333333333331</v>
      </c>
      <c r="O25" s="47">
        <f t="shared" si="1"/>
        <v>45826</v>
      </c>
      <c r="P25" s="47">
        <f ca="1">IFERROR(VLOOKUP(Tabulka16[[#This Row],[Svátky]],Tabulka15[Svátky],1,FALSE),0)</f>
        <v>0</v>
      </c>
      <c r="Q25" s="47" t="str">
        <f ca="1">IF(Tabulka16[[#This Row],[Vyhledáno v číselníku?]],"Svátek","Všední den")</f>
        <v>Všední den</v>
      </c>
    </row>
    <row r="26" spans="1:17" ht="15.75" customHeight="1" thickBot="1" x14ac:dyDescent="0.35">
      <c r="A26" s="47">
        <f t="shared" si="0"/>
        <v>45827</v>
      </c>
      <c r="B26" t="str">
        <f t="shared" si="2"/>
        <v>čt</v>
      </c>
      <c r="C26" s="60">
        <v>19</v>
      </c>
      <c r="D26" s="57">
        <v>0.33333333333333331</v>
      </c>
      <c r="E26" s="18">
        <v>0.6875</v>
      </c>
      <c r="F26" s="18"/>
      <c r="G26" s="18"/>
      <c r="H26" s="18">
        <v>0.5</v>
      </c>
      <c r="I26" s="18">
        <v>0.52083333333333337</v>
      </c>
      <c r="J26" s="19"/>
      <c r="K26" s="18"/>
      <c r="L26" s="50"/>
      <c r="M26" s="53">
        <f t="shared" si="3"/>
        <v>0.33333333333333331</v>
      </c>
      <c r="O26" s="47">
        <f t="shared" si="1"/>
        <v>45827</v>
      </c>
      <c r="P26" s="47">
        <f ca="1">IFERROR(VLOOKUP(Tabulka16[[#This Row],[Svátky]],Tabulka15[Svátky],1,FALSE),0)</f>
        <v>0</v>
      </c>
      <c r="Q26" s="47" t="str">
        <f ca="1">IF(Tabulka16[[#This Row],[Vyhledáno v číselníku?]],"Svátek","Všední den")</f>
        <v>Všední den</v>
      </c>
    </row>
    <row r="27" spans="1:17" ht="15.75" customHeight="1" thickBot="1" x14ac:dyDescent="0.35">
      <c r="A27" s="47">
        <f t="shared" si="0"/>
        <v>45828</v>
      </c>
      <c r="B27" t="str">
        <f t="shared" si="2"/>
        <v>pá</v>
      </c>
      <c r="C27" s="60">
        <v>20</v>
      </c>
      <c r="D27" s="57">
        <v>0.33333333333333331</v>
      </c>
      <c r="E27" s="18">
        <v>0.6875</v>
      </c>
      <c r="F27" s="18"/>
      <c r="G27" s="18"/>
      <c r="H27" s="18">
        <v>0.5</v>
      </c>
      <c r="I27" s="18">
        <v>0.52083333333333337</v>
      </c>
      <c r="J27" s="19"/>
      <c r="K27" s="18"/>
      <c r="L27" s="50"/>
      <c r="M27" s="53">
        <f t="shared" si="3"/>
        <v>0.33333333333333331</v>
      </c>
      <c r="O27" s="47">
        <f t="shared" si="1"/>
        <v>45828</v>
      </c>
      <c r="P27" s="47">
        <f ca="1">IFERROR(VLOOKUP(Tabulka16[[#This Row],[Svátky]],Tabulka15[Svátky],1,FALSE),0)</f>
        <v>0</v>
      </c>
      <c r="Q27" s="47" t="str">
        <f ca="1">IF(Tabulka16[[#This Row],[Vyhledáno v číselníku?]],"Svátek","Všední den")</f>
        <v>Všední den</v>
      </c>
    </row>
    <row r="28" spans="1:17" ht="15.75" customHeight="1" thickBot="1" x14ac:dyDescent="0.35">
      <c r="A28" s="47">
        <f t="shared" si="0"/>
        <v>45829</v>
      </c>
      <c r="B28" t="str">
        <f t="shared" si="2"/>
        <v>so</v>
      </c>
      <c r="C28" s="60">
        <v>21</v>
      </c>
      <c r="D28" s="57"/>
      <c r="E28" s="18"/>
      <c r="F28" s="18"/>
      <c r="G28" s="18"/>
      <c r="H28" s="18"/>
      <c r="I28" s="18"/>
      <c r="J28" s="19"/>
      <c r="K28" s="18"/>
      <c r="L28" s="50"/>
      <c r="M28" s="53">
        <f t="shared" si="3"/>
        <v>0</v>
      </c>
      <c r="O28" s="47">
        <f t="shared" si="1"/>
        <v>45829</v>
      </c>
      <c r="P28" s="47">
        <f ca="1">IFERROR(VLOOKUP(Tabulka16[[#This Row],[Svátky]],Tabulka15[Svátky],1,FALSE),0)</f>
        <v>0</v>
      </c>
      <c r="Q28" s="47" t="str">
        <f ca="1">IF(Tabulka16[[#This Row],[Vyhledáno v číselníku?]],"Svátek","Všední den")</f>
        <v>Všední den</v>
      </c>
    </row>
    <row r="29" spans="1:17" ht="15.75" customHeight="1" thickBot="1" x14ac:dyDescent="0.35">
      <c r="A29" s="47">
        <f t="shared" si="0"/>
        <v>45830</v>
      </c>
      <c r="B29" t="str">
        <f t="shared" si="2"/>
        <v>ne</v>
      </c>
      <c r="C29" s="60">
        <v>22</v>
      </c>
      <c r="D29" s="57"/>
      <c r="E29" s="18"/>
      <c r="F29" s="18"/>
      <c r="G29" s="18"/>
      <c r="H29" s="18"/>
      <c r="I29" s="18"/>
      <c r="J29" s="19"/>
      <c r="K29" s="18"/>
      <c r="L29" s="50"/>
      <c r="M29" s="53">
        <f t="shared" si="3"/>
        <v>0</v>
      </c>
      <c r="O29" s="47">
        <f t="shared" si="1"/>
        <v>45830</v>
      </c>
      <c r="P29" s="47">
        <f ca="1">IFERROR(VLOOKUP(Tabulka16[[#This Row],[Svátky]],Tabulka15[Svátky],1,FALSE),0)</f>
        <v>0</v>
      </c>
      <c r="Q29" s="47" t="str">
        <f ca="1">IF(Tabulka16[[#This Row],[Vyhledáno v číselníku?]],"Svátek","Všední den")</f>
        <v>Všední den</v>
      </c>
    </row>
    <row r="30" spans="1:17" ht="15.75" customHeight="1" thickBot="1" x14ac:dyDescent="0.35">
      <c r="A30" s="47">
        <f t="shared" si="0"/>
        <v>45831</v>
      </c>
      <c r="B30" t="str">
        <f t="shared" si="2"/>
        <v>po</v>
      </c>
      <c r="C30" s="60">
        <v>23</v>
      </c>
      <c r="D30" s="57"/>
      <c r="E30" s="18"/>
      <c r="F30" s="18"/>
      <c r="G30" s="18"/>
      <c r="H30" s="18"/>
      <c r="I30" s="18"/>
      <c r="J30" s="19" t="s">
        <v>91</v>
      </c>
      <c r="K30" s="18"/>
      <c r="L30" s="50"/>
      <c r="M30" s="53">
        <f t="shared" si="3"/>
        <v>0</v>
      </c>
      <c r="O30" s="47">
        <f t="shared" si="1"/>
        <v>45831</v>
      </c>
      <c r="P30" s="47">
        <f ca="1">IFERROR(VLOOKUP(Tabulka16[[#This Row],[Svátky]],Tabulka15[Svátky],1,FALSE),0)</f>
        <v>0</v>
      </c>
      <c r="Q30" s="47" t="str">
        <f ca="1">IF(Tabulka16[[#This Row],[Vyhledáno v číselníku?]],"Svátek","Všední den")</f>
        <v>Všední den</v>
      </c>
    </row>
    <row r="31" spans="1:17" ht="15.75" customHeight="1" thickBot="1" x14ac:dyDescent="0.35">
      <c r="A31" s="47">
        <f t="shared" si="0"/>
        <v>45832</v>
      </c>
      <c r="B31" t="str">
        <f t="shared" si="2"/>
        <v>út</v>
      </c>
      <c r="C31" s="60">
        <v>24</v>
      </c>
      <c r="D31" s="57">
        <v>0.33333333333333331</v>
      </c>
      <c r="E31" s="18">
        <v>0.6875</v>
      </c>
      <c r="F31" s="18"/>
      <c r="G31" s="18"/>
      <c r="H31" s="18">
        <v>0.5</v>
      </c>
      <c r="I31" s="18">
        <v>0.52083333333333337</v>
      </c>
      <c r="J31" s="19"/>
      <c r="K31" s="18"/>
      <c r="L31" s="50"/>
      <c r="M31" s="53">
        <f t="shared" si="3"/>
        <v>0.33333333333333331</v>
      </c>
      <c r="O31" s="47">
        <f t="shared" si="1"/>
        <v>45832</v>
      </c>
      <c r="P31" s="47">
        <f ca="1">IFERROR(VLOOKUP(Tabulka16[[#This Row],[Svátky]],Tabulka15[Svátky],1,FALSE),0)</f>
        <v>0</v>
      </c>
      <c r="Q31" s="47" t="str">
        <f ca="1">IF(Tabulka16[[#This Row],[Vyhledáno v číselníku?]],"Svátek","Všední den")</f>
        <v>Všední den</v>
      </c>
    </row>
    <row r="32" spans="1:17" ht="15.75" customHeight="1" thickBot="1" x14ac:dyDescent="0.35">
      <c r="A32" s="47">
        <f t="shared" si="0"/>
        <v>45833</v>
      </c>
      <c r="B32" t="str">
        <f t="shared" si="2"/>
        <v>st</v>
      </c>
      <c r="C32" s="60">
        <v>25</v>
      </c>
      <c r="D32" s="57">
        <v>0.52083333333333337</v>
      </c>
      <c r="E32" s="18">
        <v>0.6875</v>
      </c>
      <c r="F32" s="18"/>
      <c r="G32" s="18"/>
      <c r="H32" s="18"/>
      <c r="I32" s="18"/>
      <c r="J32" s="19" t="s">
        <v>86</v>
      </c>
      <c r="K32" s="18">
        <v>0.33333333333333331</v>
      </c>
      <c r="L32" s="50">
        <v>0.5</v>
      </c>
      <c r="M32" s="53">
        <f t="shared" si="3"/>
        <v>0.33333333333333331</v>
      </c>
      <c r="O32" s="47">
        <f t="shared" si="1"/>
        <v>45833</v>
      </c>
      <c r="P32" s="47">
        <f ca="1">IFERROR(VLOOKUP(Tabulka16[[#This Row],[Svátky]],Tabulka15[Svátky],1,FALSE),0)</f>
        <v>0</v>
      </c>
      <c r="Q32" s="47" t="str">
        <f ca="1">IF(Tabulka16[[#This Row],[Vyhledáno v číselníku?]],"Svátek","Všední den")</f>
        <v>Všední den</v>
      </c>
    </row>
    <row r="33" spans="1:17" ht="15.75" customHeight="1" thickBot="1" x14ac:dyDescent="0.35">
      <c r="A33" s="47">
        <f t="shared" si="0"/>
        <v>45834</v>
      </c>
      <c r="B33" t="str">
        <f t="shared" si="2"/>
        <v>čt</v>
      </c>
      <c r="C33" s="60">
        <v>26</v>
      </c>
      <c r="D33" s="57">
        <v>0.33333333333333331</v>
      </c>
      <c r="E33" s="18">
        <v>0.6875</v>
      </c>
      <c r="F33" s="18"/>
      <c r="G33" s="18"/>
      <c r="H33" s="18">
        <v>0.5</v>
      </c>
      <c r="I33" s="18">
        <v>0.52083333333333337</v>
      </c>
      <c r="J33" s="19" t="s">
        <v>87</v>
      </c>
      <c r="K33" s="18"/>
      <c r="L33" s="50"/>
      <c r="M33" s="53">
        <f t="shared" si="3"/>
        <v>0.33333333333333331</v>
      </c>
      <c r="O33" s="47">
        <f t="shared" si="1"/>
        <v>45834</v>
      </c>
      <c r="P33" s="47">
        <f ca="1">IFERROR(VLOOKUP(Tabulka16[[#This Row],[Svátky]],Tabulka15[Svátky],1,FALSE),0)</f>
        <v>0</v>
      </c>
      <c r="Q33" s="47" t="str">
        <f ca="1">IF(Tabulka16[[#This Row],[Vyhledáno v číselníku?]],"Svátek","Všední den")</f>
        <v>Všední den</v>
      </c>
    </row>
    <row r="34" spans="1:17" ht="15.75" customHeight="1" thickBot="1" x14ac:dyDescent="0.35">
      <c r="A34" s="47">
        <f t="shared" si="0"/>
        <v>45835</v>
      </c>
      <c r="B34" t="str">
        <f t="shared" si="2"/>
        <v>pá</v>
      </c>
      <c r="C34" s="60">
        <v>27</v>
      </c>
      <c r="D34" s="57">
        <v>0.33333333333333331</v>
      </c>
      <c r="E34" s="18">
        <v>0.6875</v>
      </c>
      <c r="F34" s="18"/>
      <c r="G34" s="18"/>
      <c r="H34" s="18">
        <v>0.5</v>
      </c>
      <c r="I34" s="18">
        <v>0.52083333333333337</v>
      </c>
      <c r="J34" s="19"/>
      <c r="K34" s="18"/>
      <c r="L34" s="50"/>
      <c r="M34" s="53">
        <f t="shared" si="3"/>
        <v>0.33333333333333331</v>
      </c>
      <c r="O34" s="47">
        <f t="shared" si="1"/>
        <v>45835</v>
      </c>
      <c r="P34" s="47">
        <f ca="1">IFERROR(VLOOKUP(Tabulka16[[#This Row],[Svátky]],Tabulka15[Svátky],1,FALSE),0)</f>
        <v>0</v>
      </c>
      <c r="Q34" s="47" t="str">
        <f ca="1">IF(Tabulka16[[#This Row],[Vyhledáno v číselníku?]],"Svátek","Všední den")</f>
        <v>Všední den</v>
      </c>
    </row>
    <row r="35" spans="1:17" ht="15.75" customHeight="1" thickBot="1" x14ac:dyDescent="0.35">
      <c r="A35" s="47">
        <f t="shared" si="0"/>
        <v>45836</v>
      </c>
      <c r="B35" t="str">
        <f t="shared" si="2"/>
        <v>so</v>
      </c>
      <c r="C35" s="60">
        <v>28</v>
      </c>
      <c r="D35" s="57"/>
      <c r="E35" s="18"/>
      <c r="F35" s="18"/>
      <c r="G35" s="18"/>
      <c r="H35" s="18"/>
      <c r="I35" s="18"/>
      <c r="J35" s="19"/>
      <c r="K35" s="18"/>
      <c r="L35" s="50"/>
      <c r="M35" s="53">
        <f t="shared" si="3"/>
        <v>0</v>
      </c>
      <c r="O35" s="47">
        <f t="shared" si="1"/>
        <v>45836</v>
      </c>
      <c r="P35" s="47">
        <f ca="1">IFERROR(VLOOKUP(Tabulka16[[#This Row],[Svátky]],Tabulka15[Svátky],1,FALSE),0)</f>
        <v>0</v>
      </c>
      <c r="Q35" s="47" t="str">
        <f ca="1">IF(Tabulka16[[#This Row],[Vyhledáno v číselníku?]],"Svátek","Všední den")</f>
        <v>Všední den</v>
      </c>
    </row>
    <row r="36" spans="1:17" ht="15.75" customHeight="1" thickBot="1" x14ac:dyDescent="0.35">
      <c r="A36" s="47">
        <f t="shared" si="0"/>
        <v>45837</v>
      </c>
      <c r="B36" t="str">
        <f t="shared" si="2"/>
        <v>ne</v>
      </c>
      <c r="C36" s="60">
        <v>29</v>
      </c>
      <c r="D36" s="57"/>
      <c r="E36" s="18"/>
      <c r="F36" s="18"/>
      <c r="G36" s="18"/>
      <c r="H36" s="18"/>
      <c r="I36" s="18"/>
      <c r="J36" s="19"/>
      <c r="K36" s="18"/>
      <c r="L36" s="50"/>
      <c r="M36" s="53">
        <f t="shared" si="3"/>
        <v>0</v>
      </c>
      <c r="O36" s="47">
        <f t="shared" si="1"/>
        <v>45837</v>
      </c>
      <c r="P36" s="47">
        <f ca="1">IFERROR(VLOOKUP(Tabulka16[[#This Row],[Svátky]],Tabulka15[Svátky],1,FALSE),0)</f>
        <v>0</v>
      </c>
      <c r="Q36" s="47" t="str">
        <f ca="1">IF(Tabulka16[[#This Row],[Vyhledáno v číselníku?]],"Svátek","Všední den")</f>
        <v>Všední den</v>
      </c>
    </row>
    <row r="37" spans="1:17" ht="15.75" customHeight="1" thickBot="1" x14ac:dyDescent="0.35">
      <c r="A37" s="47">
        <f t="shared" si="0"/>
        <v>45838</v>
      </c>
      <c r="B37" t="str">
        <f t="shared" si="2"/>
        <v>po</v>
      </c>
      <c r="C37" s="60">
        <v>30</v>
      </c>
      <c r="D37" s="58"/>
      <c r="E37" s="20"/>
      <c r="F37" s="20"/>
      <c r="G37" s="20"/>
      <c r="H37" s="18"/>
      <c r="I37" s="18"/>
      <c r="J37" s="21" t="s">
        <v>91</v>
      </c>
      <c r="K37" s="20"/>
      <c r="L37" s="51"/>
      <c r="M37" s="53">
        <f t="shared" si="3"/>
        <v>0</v>
      </c>
      <c r="O37" s="47">
        <f t="shared" si="1"/>
        <v>45838</v>
      </c>
      <c r="P37" s="47">
        <f ca="1">IFERROR(VLOOKUP(Tabulka16[[#This Row],[Svátky]],Tabulka15[Svátky],1,FALSE),0)</f>
        <v>0</v>
      </c>
      <c r="Q37" s="47" t="str">
        <f ca="1">IF(Tabulka16[[#This Row],[Vyhledáno v číselníku?]],"Svátek","Všední den")</f>
        <v>Všední den</v>
      </c>
    </row>
    <row r="38" spans="1:17" ht="15.75" customHeight="1" thickBot="1" x14ac:dyDescent="0.35">
      <c r="A38" s="47">
        <f t="shared" si="0"/>
        <v>45839</v>
      </c>
      <c r="B38" t="str">
        <f t="shared" si="2"/>
        <v>út</v>
      </c>
      <c r="C38" s="61">
        <v>31</v>
      </c>
      <c r="D38" s="59"/>
      <c r="E38" s="22"/>
      <c r="F38" s="22"/>
      <c r="G38" s="22"/>
      <c r="H38" s="22"/>
      <c r="I38" s="22"/>
      <c r="J38" s="23"/>
      <c r="K38" s="22"/>
      <c r="L38" s="52"/>
      <c r="M38" s="53">
        <f t="shared" si="3"/>
        <v>0</v>
      </c>
      <c r="O38" s="47">
        <f t="shared" si="1"/>
        <v>45839</v>
      </c>
      <c r="P38" s="47">
        <f ca="1">IFERROR(VLOOKUP(Tabulka16[[#This Row],[Svátky]],Tabulka15[Svátky],1,FALSE),0)</f>
        <v>0</v>
      </c>
      <c r="Q38" s="47" t="str">
        <f ca="1">IF(Tabulka16[[#This Row],[Vyhledáno v číselníku?]],"Svátek","Všední den")</f>
        <v>Všední den</v>
      </c>
    </row>
    <row r="39" spans="1:17" ht="15.75" customHeight="1" thickBot="1" x14ac:dyDescent="0.35">
      <c r="C39" s="24"/>
      <c r="D39" s="25"/>
      <c r="E39" s="25"/>
      <c r="F39" s="25"/>
      <c r="G39" s="25"/>
      <c r="H39" s="25"/>
      <c r="I39" s="25"/>
      <c r="J39" s="26"/>
      <c r="K39" s="28" t="s">
        <v>42</v>
      </c>
      <c r="L39" s="26"/>
      <c r="M39" s="55">
        <f>SUM(M8:M38)</f>
        <v>5.3333333333333321</v>
      </c>
    </row>
    <row r="40" spans="1:17" ht="15.75" customHeight="1" thickBot="1" x14ac:dyDescent="0.35">
      <c r="C40" s="27"/>
      <c r="D40" s="41" t="s">
        <v>52</v>
      </c>
      <c r="E40" s="25"/>
      <c r="F40" s="25"/>
      <c r="G40" s="25"/>
      <c r="H40" s="25" t="s">
        <v>51</v>
      </c>
      <c r="I40" s="25"/>
      <c r="J40" s="26"/>
      <c r="K40" s="28" t="s">
        <v>43</v>
      </c>
      <c r="L40" s="26"/>
      <c r="M40" s="54">
        <v>0</v>
      </c>
    </row>
    <row r="41" spans="1:17" ht="15.75" customHeight="1" thickBot="1" x14ac:dyDescent="0.35">
      <c r="C41" s="27"/>
      <c r="D41" s="41" t="s">
        <v>54</v>
      </c>
      <c r="E41" s="25"/>
      <c r="F41" s="25"/>
      <c r="G41" s="25"/>
      <c r="H41" s="25" t="s">
        <v>81</v>
      </c>
      <c r="I41" s="25"/>
      <c r="J41" s="26"/>
      <c r="K41" s="28" t="s">
        <v>44</v>
      </c>
      <c r="L41" s="26"/>
      <c r="M41" s="29">
        <v>0</v>
      </c>
    </row>
    <row r="42" spans="1:17" ht="15.75" customHeight="1" thickBot="1" x14ac:dyDescent="0.35">
      <c r="C42" s="27"/>
      <c r="D42" s="41" t="s">
        <v>56</v>
      </c>
      <c r="E42" s="25"/>
      <c r="F42" s="25"/>
      <c r="G42" s="25"/>
      <c r="H42" s="25" t="s">
        <v>82</v>
      </c>
      <c r="I42" s="25"/>
      <c r="J42" s="26"/>
      <c r="K42" s="28" t="s">
        <v>45</v>
      </c>
      <c r="L42" s="26"/>
      <c r="M42" s="29">
        <v>0</v>
      </c>
    </row>
    <row r="43" spans="1:17" ht="15.75" customHeight="1" thickBot="1" x14ac:dyDescent="0.35">
      <c r="C43" s="27"/>
      <c r="D43" s="41" t="s">
        <v>58</v>
      </c>
      <c r="E43" s="25"/>
      <c r="F43" s="25"/>
      <c r="G43" s="25"/>
      <c r="H43" s="25" t="s">
        <v>57</v>
      </c>
      <c r="I43" s="25"/>
      <c r="J43" s="30"/>
      <c r="K43" s="28" t="s">
        <v>46</v>
      </c>
      <c r="L43" s="26"/>
      <c r="M43" s="29">
        <v>0</v>
      </c>
    </row>
    <row r="44" spans="1:17" ht="15.75" customHeight="1" thickBot="1" x14ac:dyDescent="0.35">
      <c r="C44" s="31"/>
      <c r="D44" s="41" t="s">
        <v>60</v>
      </c>
      <c r="E44" s="32"/>
      <c r="F44" s="32"/>
      <c r="G44" s="32"/>
      <c r="H44" s="32" t="s">
        <v>83</v>
      </c>
      <c r="I44" s="32"/>
      <c r="J44" s="14"/>
      <c r="K44" s="33" t="s">
        <v>47</v>
      </c>
      <c r="L44" s="34"/>
      <c r="M44" s="35">
        <v>0</v>
      </c>
    </row>
    <row r="45" spans="1:17" ht="15.75" customHeight="1" thickBot="1" x14ac:dyDescent="0.35">
      <c r="C45" s="31"/>
      <c r="D45" s="41" t="s">
        <v>80</v>
      </c>
      <c r="E45" s="32"/>
      <c r="F45" s="32"/>
      <c r="G45" s="32"/>
      <c r="H45" s="32" t="s">
        <v>61</v>
      </c>
      <c r="I45" s="32"/>
      <c r="J45" s="14"/>
      <c r="K45" s="33" t="s">
        <v>48</v>
      </c>
      <c r="L45" s="34"/>
      <c r="M45" s="35">
        <v>0</v>
      </c>
    </row>
    <row r="46" spans="1:17" ht="15.75" customHeight="1" thickBot="1" x14ac:dyDescent="0.35">
      <c r="C46" s="31"/>
      <c r="E46" s="32"/>
      <c r="F46" s="32"/>
      <c r="G46" s="32"/>
      <c r="H46" s="32"/>
      <c r="I46" s="32"/>
      <c r="J46" s="34"/>
      <c r="K46" s="33" t="s">
        <v>49</v>
      </c>
      <c r="L46" s="34"/>
      <c r="M46" s="5">
        <f>SUM(M39+M40+M41+M42+M43+M44+M45)</f>
        <v>5.3333333333333321</v>
      </c>
    </row>
    <row r="47" spans="1:17" x14ac:dyDescent="0.3">
      <c r="A47" s="36"/>
      <c r="B47" s="37"/>
      <c r="C47" s="37"/>
      <c r="D47" s="37"/>
      <c r="E47" s="37"/>
      <c r="F47" s="37"/>
      <c r="G47" s="37"/>
      <c r="H47" s="38"/>
      <c r="I47" s="37"/>
      <c r="J47" s="37"/>
      <c r="K47" s="39"/>
    </row>
    <row r="48" spans="1:17" x14ac:dyDescent="0.3">
      <c r="A48" s="40" t="s">
        <v>50</v>
      </c>
      <c r="B48" s="41" t="s">
        <v>51</v>
      </c>
      <c r="C48" s="41"/>
      <c r="D48" s="41"/>
      <c r="E48" s="41"/>
      <c r="G48" s="41"/>
      <c r="H48" s="42"/>
      <c r="I48" s="41"/>
      <c r="J48" s="32"/>
      <c r="K48" s="43"/>
    </row>
    <row r="49" spans="1:11" x14ac:dyDescent="0.3">
      <c r="A49" s="40"/>
      <c r="B49" s="41" t="s">
        <v>53</v>
      </c>
      <c r="C49" s="41"/>
      <c r="D49" s="41"/>
      <c r="E49" s="41"/>
      <c r="G49" s="41"/>
      <c r="H49" s="42"/>
      <c r="I49" s="41"/>
      <c r="J49" s="32"/>
      <c r="K49" s="43"/>
    </row>
    <row r="50" spans="1:11" x14ac:dyDescent="0.3">
      <c r="A50" s="40"/>
      <c r="B50" s="41" t="s">
        <v>55</v>
      </c>
      <c r="C50" s="41"/>
      <c r="D50" s="41"/>
      <c r="E50" s="41"/>
      <c r="G50" s="41"/>
      <c r="H50" s="42"/>
      <c r="I50" s="41"/>
      <c r="J50" s="32"/>
      <c r="K50" s="43"/>
    </row>
    <row r="51" spans="1:11" x14ac:dyDescent="0.3">
      <c r="A51" s="40"/>
      <c r="B51" s="41" t="s">
        <v>57</v>
      </c>
      <c r="C51" s="41"/>
      <c r="D51" s="41"/>
      <c r="E51" s="41"/>
      <c r="G51" s="41"/>
      <c r="H51" s="42"/>
      <c r="I51" s="41"/>
      <c r="J51" s="32"/>
      <c r="K51" s="43"/>
    </row>
    <row r="52" spans="1:11" x14ac:dyDescent="0.3">
      <c r="A52" s="40"/>
      <c r="B52" s="41" t="s">
        <v>59</v>
      </c>
      <c r="C52" s="41"/>
      <c r="D52" s="41"/>
      <c r="E52" s="41"/>
      <c r="G52" s="41"/>
      <c r="H52" s="42"/>
      <c r="I52" s="41"/>
      <c r="J52" s="32"/>
      <c r="K52" s="43"/>
    </row>
    <row r="53" spans="1:11" x14ac:dyDescent="0.3">
      <c r="A53" s="40"/>
      <c r="B53" s="41" t="s">
        <v>61</v>
      </c>
      <c r="C53" s="41"/>
      <c r="D53" s="41"/>
      <c r="E53" s="41"/>
      <c r="F53" s="41"/>
      <c r="G53" s="41"/>
      <c r="H53" s="42"/>
      <c r="I53" s="41"/>
      <c r="J53" s="32"/>
      <c r="K53" s="43"/>
    </row>
  </sheetData>
  <sheetProtection algorithmName="SHA-512" hashValue="C5pZtUBwT/mtLjSgvbZuEsDJxSUAsDxwtcmxZuCZi9/hdoSxUhi27BnFRqiajFPaOi3mTwQTMXBiHb7ZwNF19Q==" saltValue="ocsHAJoL3dniy1qQafZ+YQ==" spinCount="100000" sheet="1" formatCells="0" formatColumns="0" formatRows="0" insertColumns="0" insertRows="0" insertHyperlinks="0" deleteColumns="0" deleteRows="0" sort="0" autoFilter="0" pivotTables="0"/>
  <mergeCells count="11">
    <mergeCell ref="F6:G6"/>
    <mergeCell ref="H6:I6"/>
    <mergeCell ref="J6:L6"/>
    <mergeCell ref="M6:M7"/>
    <mergeCell ref="C1:M1"/>
    <mergeCell ref="C2:M2"/>
    <mergeCell ref="D3:G3"/>
    <mergeCell ref="C5:E5"/>
    <mergeCell ref="F5:M5"/>
    <mergeCell ref="F4:G4"/>
    <mergeCell ref="D4:E4"/>
  </mergeCells>
  <conditionalFormatting sqref="C8:M38">
    <cfRule type="expression" dxfId="7" priority="1">
      <formula>ROW()-7&gt;$S$7</formula>
    </cfRule>
    <cfRule type="expression" dxfId="6" priority="2">
      <formula>$Q8:$Q38="Svátek"</formula>
    </cfRule>
    <cfRule type="expression" dxfId="5" priority="8">
      <formula>$B8:$B38="so"</formula>
    </cfRule>
    <cfRule type="expression" dxfId="4" priority="9">
      <formula>$B8:$B38="ne"</formula>
    </cfRule>
  </conditionalFormatting>
  <dataValidations count="2">
    <dataValidation type="list" allowBlank="1" showInputMessage="1" showErrorMessage="1" sqref="K4" xr:uid="{4E69F3E2-1710-470D-93CC-3422CCE0E33B}">
      <formula1>"2023,2024,2025,2026"</formula1>
    </dataValidation>
    <dataValidation type="list" allowBlank="1" showInputMessage="1" showErrorMessage="1" sqref="I4" xr:uid="{4B8E32B5-D6FA-4D3D-B989-87BC46DD3DC7}">
      <formula1>"Leden,Únor,Březen,Duben,Květen,Červen,Červenec,Srpen,Září,Říjen,Listopad,Prosinec"</formula1>
    </dataValidation>
  </dataValidations>
  <pageMargins left="0.7" right="0.7" top="0.78740157499999996" bottom="0.78740157499999996" header="0.3" footer="0.3"/>
  <pageSetup paperSize="9" scale="8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A9EE-DAD6-4747-82C8-E5F7BC372254}">
  <sheetPr>
    <pageSetUpPr fitToPage="1"/>
  </sheetPr>
  <dimension ref="A1:U53"/>
  <sheetViews>
    <sheetView showGridLines="0" tabSelected="1" topLeftCell="C1" zoomScaleNormal="100" workbookViewId="0">
      <selection activeCell="X11" sqref="X11"/>
    </sheetView>
  </sheetViews>
  <sheetFormatPr defaultRowHeight="14.4" x14ac:dyDescent="0.3"/>
  <cols>
    <col min="1" max="1" width="12.109375" hidden="1" customWidth="1"/>
    <col min="2" max="2" width="10.5546875" hidden="1" customWidth="1"/>
    <col min="4" max="4" width="10.109375" bestFit="1" customWidth="1"/>
    <col min="10" max="10" width="14.6640625" customWidth="1"/>
    <col min="11" max="11" width="12.6640625" customWidth="1"/>
    <col min="12" max="12" width="11.5546875" customWidth="1"/>
    <col min="13" max="13" width="13.109375" customWidth="1"/>
    <col min="14" max="14" width="20.5546875" hidden="1" customWidth="1"/>
    <col min="15" max="15" width="22.88671875" hidden="1" customWidth="1"/>
    <col min="16" max="16" width="32.44140625" hidden="1" customWidth="1"/>
    <col min="17" max="17" width="46.44140625" hidden="1" customWidth="1"/>
    <col min="18" max="18" width="0" hidden="1" customWidth="1"/>
    <col min="19" max="19" width="28.5546875" hidden="1" customWidth="1"/>
  </cols>
  <sheetData>
    <row r="1" spans="1:21" x14ac:dyDescent="0.3">
      <c r="C1" s="85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21" x14ac:dyDescent="0.3">
      <c r="C2" s="88" t="s">
        <v>93</v>
      </c>
      <c r="D2" s="89"/>
      <c r="E2" s="89"/>
      <c r="F2" s="89"/>
      <c r="G2" s="89"/>
      <c r="H2" s="89"/>
      <c r="I2" s="89"/>
      <c r="J2" s="89"/>
      <c r="K2" s="89"/>
      <c r="L2" s="89"/>
      <c r="M2" s="90"/>
      <c r="T2" t="s">
        <v>94</v>
      </c>
    </row>
    <row r="3" spans="1:21" x14ac:dyDescent="0.3">
      <c r="C3" s="8"/>
      <c r="D3" s="91"/>
      <c r="E3" s="89"/>
      <c r="F3" s="89"/>
      <c r="G3" s="89"/>
      <c r="H3" s="9"/>
      <c r="I3" s="9"/>
      <c r="J3" s="10"/>
      <c r="K3" s="9"/>
      <c r="L3" s="9"/>
      <c r="M3" s="11"/>
      <c r="U3" t="s">
        <v>95</v>
      </c>
    </row>
    <row r="4" spans="1:21" ht="15.75" customHeight="1" thickBot="1" x14ac:dyDescent="0.35">
      <c r="C4" s="67" t="s">
        <v>84</v>
      </c>
      <c r="D4" s="92" t="s">
        <v>101</v>
      </c>
      <c r="E4" s="92"/>
      <c r="F4" s="93" t="s">
        <v>89</v>
      </c>
      <c r="G4" s="93"/>
      <c r="H4" s="12" t="s">
        <v>29</v>
      </c>
      <c r="I4" s="44" t="s">
        <v>98</v>
      </c>
      <c r="J4" s="48">
        <f>+VLOOKUP(I4,Číselník!P2:Q13,2,FALSE)</f>
        <v>3</v>
      </c>
      <c r="K4" s="13">
        <v>2026</v>
      </c>
      <c r="L4" s="14" t="s">
        <v>97</v>
      </c>
      <c r="M4" s="15" t="s">
        <v>102</v>
      </c>
      <c r="U4" t="s">
        <v>103</v>
      </c>
    </row>
    <row r="5" spans="1:21" x14ac:dyDescent="0.3">
      <c r="C5" s="94" t="s">
        <v>30</v>
      </c>
      <c r="D5" s="95"/>
      <c r="E5" s="96"/>
      <c r="F5" s="97"/>
      <c r="G5" s="98"/>
      <c r="H5" s="98"/>
      <c r="I5" s="98"/>
      <c r="J5" s="98"/>
      <c r="K5" s="98"/>
      <c r="L5" s="98"/>
      <c r="M5" s="99"/>
      <c r="U5" t="s">
        <v>104</v>
      </c>
    </row>
    <row r="6" spans="1:21" ht="15" thickBot="1" x14ac:dyDescent="0.35">
      <c r="C6" s="62" t="s">
        <v>31</v>
      </c>
      <c r="D6" s="63" t="s">
        <v>32</v>
      </c>
      <c r="E6" s="63" t="s">
        <v>33</v>
      </c>
      <c r="F6" s="80" t="s">
        <v>34</v>
      </c>
      <c r="G6" s="81"/>
      <c r="H6" s="80" t="s">
        <v>35</v>
      </c>
      <c r="I6" s="81"/>
      <c r="J6" s="80" t="s">
        <v>36</v>
      </c>
      <c r="K6" s="82"/>
      <c r="L6" s="81"/>
      <c r="M6" s="83" t="s">
        <v>37</v>
      </c>
      <c r="U6" t="s">
        <v>96</v>
      </c>
    </row>
    <row r="7" spans="1:21" ht="15.75" customHeight="1" thickBot="1" x14ac:dyDescent="0.35">
      <c r="C7" s="64"/>
      <c r="D7" s="65"/>
      <c r="E7" s="65"/>
      <c r="F7" s="65" t="s">
        <v>38</v>
      </c>
      <c r="G7" s="65" t="s">
        <v>39</v>
      </c>
      <c r="H7" s="65" t="s">
        <v>38</v>
      </c>
      <c r="I7" s="65" t="s">
        <v>39</v>
      </c>
      <c r="J7" s="65" t="s">
        <v>40</v>
      </c>
      <c r="K7" s="65" t="s">
        <v>41</v>
      </c>
      <c r="L7" s="65" t="s">
        <v>39</v>
      </c>
      <c r="M7" s="84"/>
      <c r="O7" t="s">
        <v>77</v>
      </c>
      <c r="P7" t="s">
        <v>78</v>
      </c>
      <c r="Q7" t="s">
        <v>79</v>
      </c>
      <c r="S7">
        <f>DAY(DATE($K$4,$J$4+1,0))</f>
        <v>31</v>
      </c>
    </row>
    <row r="8" spans="1:21" ht="15.75" customHeight="1" thickBot="1" x14ac:dyDescent="0.35">
      <c r="A8" s="47">
        <f t="shared" ref="A8:A38" si="0">+DATE($K$4,$J$4,C8)</f>
        <v>46082</v>
      </c>
      <c r="B8" t="str">
        <f>+TEXT(A8,"ddd")</f>
        <v>ne</v>
      </c>
      <c r="C8" s="60">
        <v>1</v>
      </c>
      <c r="D8" s="56"/>
      <c r="E8" s="18"/>
      <c r="F8" s="74"/>
      <c r="G8" s="16"/>
      <c r="H8" s="18"/>
      <c r="I8" s="18"/>
      <c r="J8" s="19"/>
      <c r="K8" s="16"/>
      <c r="L8" s="49"/>
      <c r="M8" s="53"/>
      <c r="O8" s="47">
        <f t="shared" ref="O8:O38" si="1">A8</f>
        <v>46082</v>
      </c>
      <c r="P8" s="47">
        <f ca="1">IFERROR(VLOOKUP(Tabulka166[[#This Row],[Svátky]],Tabulka15[Svátky],1,FALSE),0)</f>
        <v>0</v>
      </c>
      <c r="Q8" s="47" t="str">
        <f ca="1">IF(Tabulka166[[#This Row],[Vyhledáno v číselníku?]],"Svátek","Všední den")</f>
        <v>Všední den</v>
      </c>
    </row>
    <row r="9" spans="1:21" ht="15.75" customHeight="1" thickBot="1" x14ac:dyDescent="0.35">
      <c r="A9" s="47">
        <f t="shared" si="0"/>
        <v>46083</v>
      </c>
      <c r="B9" t="str">
        <f t="shared" ref="B9:B38" si="2">+TEXT(A9,"ddd")</f>
        <v>po</v>
      </c>
      <c r="C9" s="60">
        <v>2</v>
      </c>
      <c r="D9" s="18"/>
      <c r="E9" s="18"/>
      <c r="F9" s="18"/>
      <c r="G9" s="18"/>
      <c r="H9" s="18"/>
      <c r="I9" s="18"/>
      <c r="J9" s="19" t="s">
        <v>99</v>
      </c>
      <c r="K9" s="18"/>
      <c r="L9" s="50"/>
      <c r="M9" s="53">
        <f t="shared" ref="M9:M38" si="3">(E9-D9)-(I9-H9)+(L9-K9)</f>
        <v>0</v>
      </c>
      <c r="O9" s="47">
        <f t="shared" si="1"/>
        <v>46083</v>
      </c>
      <c r="P9" s="47">
        <f ca="1">IFERROR(VLOOKUP(Tabulka166[[#This Row],[Svátky]],Tabulka15[Svátky],1,FALSE),0)</f>
        <v>0</v>
      </c>
      <c r="Q9" s="47" t="str">
        <f ca="1">IF(Tabulka166[[#This Row],[Vyhledáno v číselníku?]],"Svátek","Všední den")</f>
        <v>Všední den</v>
      </c>
    </row>
    <row r="10" spans="1:21" ht="15.75" customHeight="1" thickBot="1" x14ac:dyDescent="0.35">
      <c r="A10" s="47">
        <f t="shared" si="0"/>
        <v>46084</v>
      </c>
      <c r="B10" t="str">
        <f t="shared" si="2"/>
        <v>út</v>
      </c>
      <c r="C10" s="60">
        <v>3</v>
      </c>
      <c r="D10" s="18"/>
      <c r="E10" s="18"/>
      <c r="F10" s="18"/>
      <c r="G10" s="18"/>
      <c r="H10" s="18"/>
      <c r="I10" s="18"/>
      <c r="J10" s="19" t="s">
        <v>100</v>
      </c>
      <c r="K10" s="18"/>
      <c r="L10" s="50"/>
      <c r="M10" s="53">
        <f>(E10-D10)-(I10-H10)+(L10-K10)</f>
        <v>0</v>
      </c>
      <c r="O10" s="47">
        <f t="shared" si="1"/>
        <v>46084</v>
      </c>
      <c r="P10" s="47">
        <f ca="1">IFERROR(VLOOKUP(Tabulka166[[#This Row],[Svátky]],Tabulka15[Svátky],1,FALSE),0)</f>
        <v>0</v>
      </c>
      <c r="Q10" s="47" t="str">
        <f ca="1">IF(Tabulka166[[#This Row],[Vyhledáno v číselníku?]],"Svátek","Všední den")</f>
        <v>Všední den</v>
      </c>
    </row>
    <row r="11" spans="1:21" ht="15.75" customHeight="1" thickBot="1" x14ac:dyDescent="0.35">
      <c r="A11" s="47">
        <f t="shared" si="0"/>
        <v>46085</v>
      </c>
      <c r="B11" t="str">
        <f t="shared" si="2"/>
        <v>st</v>
      </c>
      <c r="C11" s="70">
        <v>4</v>
      </c>
      <c r="D11" s="18">
        <v>0.3125</v>
      </c>
      <c r="E11" s="18">
        <v>0.66666666666666663</v>
      </c>
      <c r="F11" s="18"/>
      <c r="G11" s="18"/>
      <c r="H11" s="18">
        <v>0.5</v>
      </c>
      <c r="I11" s="18">
        <v>0.52083333333333337</v>
      </c>
      <c r="J11" s="19"/>
      <c r="K11" s="18"/>
      <c r="L11" s="50"/>
      <c r="M11" s="53">
        <f>(E11-D11)-(I11-H11)+(L11-K11)</f>
        <v>0.33333333333333326</v>
      </c>
      <c r="O11" s="47">
        <f t="shared" si="1"/>
        <v>46085</v>
      </c>
      <c r="P11" s="47">
        <f ca="1">IFERROR(VLOOKUP(Tabulka166[[#This Row],[Svátky]],Tabulka15[Svátky],1,FALSE),0)</f>
        <v>0</v>
      </c>
      <c r="Q11" s="47" t="str">
        <f ca="1">IF(Tabulka166[[#This Row],[Vyhledáno v číselníku?]],"Svátek","Všední den")</f>
        <v>Všední den</v>
      </c>
    </row>
    <row r="12" spans="1:21" ht="15.75" customHeight="1" thickBot="1" x14ac:dyDescent="0.35">
      <c r="A12" s="47">
        <f t="shared" si="0"/>
        <v>46086</v>
      </c>
      <c r="B12" t="str">
        <f t="shared" si="2"/>
        <v>čt</v>
      </c>
      <c r="C12" s="70">
        <v>5</v>
      </c>
      <c r="D12" s="18">
        <v>0.3125</v>
      </c>
      <c r="E12" s="18">
        <v>0.66666666666666663</v>
      </c>
      <c r="F12" s="18"/>
      <c r="G12" s="18"/>
      <c r="H12" s="18">
        <v>0.5</v>
      </c>
      <c r="I12" s="18">
        <v>0.52083333333333337</v>
      </c>
      <c r="J12" s="19"/>
      <c r="K12" s="18"/>
      <c r="L12" s="50"/>
      <c r="M12" s="53">
        <f t="shared" si="3"/>
        <v>0.33333333333333326</v>
      </c>
      <c r="O12" s="47">
        <f t="shared" si="1"/>
        <v>46086</v>
      </c>
      <c r="P12" s="47">
        <f ca="1">IFERROR(VLOOKUP(Tabulka166[[#This Row],[Svátky]],Tabulka15[Svátky],1,FALSE),0)</f>
        <v>0</v>
      </c>
      <c r="Q12" s="47" t="str">
        <f ca="1">IF(Tabulka166[[#This Row],[Vyhledáno v číselníku?]],"Svátek","Všední den")</f>
        <v>Všední den</v>
      </c>
    </row>
    <row r="13" spans="1:21" ht="15.75" customHeight="1" thickBot="1" x14ac:dyDescent="0.35">
      <c r="A13" s="47">
        <f t="shared" si="0"/>
        <v>46087</v>
      </c>
      <c r="B13" t="str">
        <f t="shared" si="2"/>
        <v>pá</v>
      </c>
      <c r="C13" s="70">
        <v>6</v>
      </c>
      <c r="D13" s="18">
        <v>0.3125</v>
      </c>
      <c r="E13" s="18">
        <v>0.66666666666666663</v>
      </c>
      <c r="F13" s="18"/>
      <c r="G13" s="18"/>
      <c r="H13" s="18">
        <v>0.5</v>
      </c>
      <c r="I13" s="18">
        <v>0.52083333333333337</v>
      </c>
      <c r="J13" s="19"/>
      <c r="K13" s="18"/>
      <c r="L13" s="50"/>
      <c r="M13" s="53">
        <f>(E13-D13)-(I13-H13)+(L13-K13)</f>
        <v>0.33333333333333326</v>
      </c>
      <c r="O13" s="47">
        <f t="shared" si="1"/>
        <v>46087</v>
      </c>
      <c r="P13" s="47">
        <f ca="1">IFERROR(VLOOKUP(Tabulka166[[#This Row],[Svátky]],Tabulka15[Svátky],1,FALSE),0)</f>
        <v>0</v>
      </c>
      <c r="Q13" s="47" t="str">
        <f ca="1">IF(Tabulka166[[#This Row],[Vyhledáno v číselníku?]],"Svátek","Všední den")</f>
        <v>Všední den</v>
      </c>
    </row>
    <row r="14" spans="1:21" ht="15.75" customHeight="1" thickBot="1" x14ac:dyDescent="0.35">
      <c r="A14" s="47">
        <f t="shared" si="0"/>
        <v>46088</v>
      </c>
      <c r="B14" t="str">
        <f t="shared" si="2"/>
        <v>so</v>
      </c>
      <c r="C14" s="70">
        <v>7</v>
      </c>
      <c r="D14" s="18"/>
      <c r="E14" s="18"/>
      <c r="F14" s="18"/>
      <c r="G14" s="18"/>
      <c r="H14" s="18"/>
      <c r="I14" s="18"/>
      <c r="J14" s="19"/>
      <c r="K14" s="18"/>
      <c r="L14" s="50"/>
      <c r="M14" s="53"/>
      <c r="O14" s="47">
        <f t="shared" si="1"/>
        <v>46088</v>
      </c>
      <c r="P14" s="47">
        <f ca="1">IFERROR(VLOOKUP(Tabulka166[[#This Row],[Svátky]],Tabulka15[Svátky],1,FALSE),0)</f>
        <v>0</v>
      </c>
      <c r="Q14" s="47" t="str">
        <f ca="1">IF(Tabulka166[[#This Row],[Vyhledáno v číselníku?]],"Svátek","Všední den")</f>
        <v>Všední den</v>
      </c>
    </row>
    <row r="15" spans="1:21" ht="15.75" customHeight="1" thickBot="1" x14ac:dyDescent="0.35">
      <c r="A15" s="47">
        <f t="shared" si="0"/>
        <v>46089</v>
      </c>
      <c r="B15" t="str">
        <f t="shared" si="2"/>
        <v>ne</v>
      </c>
      <c r="C15" s="70">
        <v>8</v>
      </c>
      <c r="D15" s="18"/>
      <c r="E15" s="18"/>
      <c r="F15" s="18"/>
      <c r="G15" s="18"/>
      <c r="H15" s="18"/>
      <c r="I15" s="18"/>
      <c r="J15" s="19"/>
      <c r="K15" s="18"/>
      <c r="L15" s="50"/>
      <c r="M15" s="53"/>
      <c r="O15" s="47">
        <f t="shared" si="1"/>
        <v>46089</v>
      </c>
      <c r="P15" s="47">
        <f ca="1">IFERROR(VLOOKUP(Tabulka166[[#This Row],[Svátky]],Tabulka15[Svátky],1,FALSE),0)</f>
        <v>0</v>
      </c>
      <c r="Q15" s="47" t="str">
        <f ca="1">IF(Tabulka166[[#This Row],[Vyhledáno v číselníku?]],"Svátek","Všední den")</f>
        <v>Všední den</v>
      </c>
    </row>
    <row r="16" spans="1:21" ht="15.75" customHeight="1" thickBot="1" x14ac:dyDescent="0.35">
      <c r="A16" s="47">
        <f t="shared" si="0"/>
        <v>46090</v>
      </c>
      <c r="B16" t="str">
        <f t="shared" si="2"/>
        <v>po</v>
      </c>
      <c r="C16" s="70">
        <v>9</v>
      </c>
      <c r="D16" s="18">
        <v>0.3125</v>
      </c>
      <c r="E16" s="18">
        <v>0.66666666666666663</v>
      </c>
      <c r="F16" s="18"/>
      <c r="G16" s="18"/>
      <c r="H16" s="18">
        <v>0.5</v>
      </c>
      <c r="I16" s="18">
        <v>0.52083333333333337</v>
      </c>
      <c r="J16" s="19"/>
      <c r="K16" s="18"/>
      <c r="L16" s="50"/>
      <c r="M16" s="53">
        <f>(E16-D16)-(I16-H16)+(L16-K16)</f>
        <v>0.33333333333333326</v>
      </c>
      <c r="O16" s="47">
        <f t="shared" si="1"/>
        <v>46090</v>
      </c>
      <c r="P16" s="47">
        <f ca="1">IFERROR(VLOOKUP(Tabulka166[[#This Row],[Svátky]],Tabulka15[Svátky],1,FALSE),0)</f>
        <v>0</v>
      </c>
      <c r="Q16" s="47" t="str">
        <f ca="1">IF(Tabulka166[[#This Row],[Vyhledáno v číselníku?]],"Svátek","Všední den")</f>
        <v>Všední den</v>
      </c>
    </row>
    <row r="17" spans="1:17" ht="15.75" customHeight="1" thickBot="1" x14ac:dyDescent="0.35">
      <c r="A17" s="47">
        <f t="shared" si="0"/>
        <v>46091</v>
      </c>
      <c r="B17" t="str">
        <f t="shared" si="2"/>
        <v>út</v>
      </c>
      <c r="C17" s="70">
        <v>10</v>
      </c>
      <c r="D17" s="18">
        <v>0.3125</v>
      </c>
      <c r="E17" s="18">
        <v>0.66666666666666663</v>
      </c>
      <c r="F17" s="18"/>
      <c r="G17" s="18"/>
      <c r="H17" s="18">
        <v>0.5</v>
      </c>
      <c r="I17" s="18">
        <v>0.52083333333333337</v>
      </c>
      <c r="J17" s="19"/>
      <c r="K17" s="18"/>
      <c r="L17" s="50"/>
      <c r="M17" s="53">
        <f>(E17-D17)-(I17-H17)+(L17-K17)</f>
        <v>0.33333333333333326</v>
      </c>
      <c r="O17" s="47">
        <f t="shared" si="1"/>
        <v>46091</v>
      </c>
      <c r="P17" s="47">
        <f ca="1">IFERROR(VLOOKUP(Tabulka166[[#This Row],[Svátky]],Tabulka15[Svátky],1,FALSE),0)</f>
        <v>0</v>
      </c>
      <c r="Q17" s="47" t="str">
        <f ca="1">IF(Tabulka166[[#This Row],[Vyhledáno v číselníku?]],"Svátek","Všední den")</f>
        <v>Všední den</v>
      </c>
    </row>
    <row r="18" spans="1:17" ht="15.75" customHeight="1" thickBot="1" x14ac:dyDescent="0.35">
      <c r="A18" s="47">
        <f t="shared" si="0"/>
        <v>46092</v>
      </c>
      <c r="B18" t="str">
        <f t="shared" si="2"/>
        <v>st</v>
      </c>
      <c r="C18" s="70">
        <v>11</v>
      </c>
      <c r="D18" s="18">
        <v>0.3125</v>
      </c>
      <c r="E18" s="18">
        <v>0.66666666666666663</v>
      </c>
      <c r="F18" s="18"/>
      <c r="G18" s="18"/>
      <c r="H18" s="18">
        <v>0.5</v>
      </c>
      <c r="I18" s="18">
        <v>0.52083333333333337</v>
      </c>
      <c r="J18" s="19"/>
      <c r="K18" s="18"/>
      <c r="L18" s="50"/>
      <c r="M18" s="53">
        <f>(E18-D18)-(I18-H18)+(L18-K18)</f>
        <v>0.33333333333333326</v>
      </c>
      <c r="O18" s="47">
        <f t="shared" si="1"/>
        <v>46092</v>
      </c>
      <c r="P18" s="47">
        <f ca="1">IFERROR(VLOOKUP(Tabulka166[[#This Row],[Svátky]],Tabulka15[Svátky],1,FALSE),0)</f>
        <v>0</v>
      </c>
      <c r="Q18" s="47" t="str">
        <f ca="1">IF(Tabulka166[[#This Row],[Vyhledáno v číselníku?]],"Svátek","Všední den")</f>
        <v>Všední den</v>
      </c>
    </row>
    <row r="19" spans="1:17" ht="15.75" customHeight="1" thickBot="1" x14ac:dyDescent="0.35">
      <c r="A19" s="47">
        <f t="shared" si="0"/>
        <v>46093</v>
      </c>
      <c r="B19" t="str">
        <f t="shared" si="2"/>
        <v>čt</v>
      </c>
      <c r="C19" s="70">
        <v>12</v>
      </c>
      <c r="D19" s="18">
        <v>0.3125</v>
      </c>
      <c r="E19" s="18">
        <v>0.66666666666666663</v>
      </c>
      <c r="F19" s="18"/>
      <c r="G19" s="18"/>
      <c r="H19" s="18">
        <v>0.5</v>
      </c>
      <c r="I19" s="18">
        <v>0.52083333333333337</v>
      </c>
      <c r="J19" s="19"/>
      <c r="K19" s="18"/>
      <c r="L19" s="50"/>
      <c r="M19" s="53">
        <f>(E19-D19)-(I19-H19)+(L19-K19)</f>
        <v>0.33333333333333326</v>
      </c>
      <c r="O19" s="47">
        <f t="shared" si="1"/>
        <v>46093</v>
      </c>
      <c r="P19" s="47">
        <f ca="1">IFERROR(VLOOKUP(Tabulka166[[#This Row],[Svátky]],Tabulka15[Svátky],1,FALSE),0)</f>
        <v>0</v>
      </c>
      <c r="Q19" s="47" t="str">
        <f ca="1">IF(Tabulka166[[#This Row],[Vyhledáno v číselníku?]],"Svátek","Všední den")</f>
        <v>Všední den</v>
      </c>
    </row>
    <row r="20" spans="1:17" ht="15.75" customHeight="1" thickBot="1" x14ac:dyDescent="0.35">
      <c r="A20" s="47">
        <f t="shared" si="0"/>
        <v>46094</v>
      </c>
      <c r="B20" t="str">
        <f t="shared" si="2"/>
        <v>pá</v>
      </c>
      <c r="C20" s="70">
        <v>13</v>
      </c>
      <c r="D20" s="18">
        <v>0.3125</v>
      </c>
      <c r="E20" s="18">
        <v>0.66666666666666663</v>
      </c>
      <c r="F20" s="18"/>
      <c r="G20" s="18"/>
      <c r="H20" s="18">
        <v>0.5</v>
      </c>
      <c r="I20" s="18">
        <v>0.52083333333333337</v>
      </c>
      <c r="J20" s="19"/>
      <c r="K20" s="18"/>
      <c r="L20" s="50"/>
      <c r="M20" s="53">
        <f>(E20-D20)-(I20-H20)+(L20-K20)</f>
        <v>0.33333333333333326</v>
      </c>
      <c r="O20" s="47">
        <f t="shared" si="1"/>
        <v>46094</v>
      </c>
      <c r="P20" s="47">
        <f ca="1">IFERROR(VLOOKUP(Tabulka166[[#This Row],[Svátky]],Tabulka15[Svátky],1,FALSE),0)</f>
        <v>0</v>
      </c>
      <c r="Q20" s="47" t="str">
        <f ca="1">IF(Tabulka166[[#This Row],[Vyhledáno v číselníku?]],"Svátek","Všední den")</f>
        <v>Všední den</v>
      </c>
    </row>
    <row r="21" spans="1:17" ht="15.75" customHeight="1" thickBot="1" x14ac:dyDescent="0.35">
      <c r="A21" s="47">
        <f t="shared" si="0"/>
        <v>46095</v>
      </c>
      <c r="B21" t="str">
        <f t="shared" si="2"/>
        <v>so</v>
      </c>
      <c r="C21" s="70">
        <v>14</v>
      </c>
      <c r="D21" s="18"/>
      <c r="E21" s="18"/>
      <c r="F21" s="18"/>
      <c r="G21" s="18"/>
      <c r="H21" s="18"/>
      <c r="I21" s="18"/>
      <c r="J21" s="19"/>
      <c r="K21" s="18"/>
      <c r="L21" s="50"/>
      <c r="M21" s="53"/>
      <c r="O21" s="47">
        <f t="shared" si="1"/>
        <v>46095</v>
      </c>
      <c r="P21" s="47">
        <f ca="1">IFERROR(VLOOKUP(Tabulka166[[#This Row],[Svátky]],Tabulka15[Svátky],1,FALSE),0)</f>
        <v>0</v>
      </c>
      <c r="Q21" s="47" t="str">
        <f ca="1">IF(Tabulka166[[#This Row],[Vyhledáno v číselníku?]],"Svátek","Všední den")</f>
        <v>Všední den</v>
      </c>
    </row>
    <row r="22" spans="1:17" ht="15.75" customHeight="1" thickBot="1" x14ac:dyDescent="0.35">
      <c r="A22" s="47">
        <f t="shared" si="0"/>
        <v>46096</v>
      </c>
      <c r="B22" t="str">
        <f t="shared" si="2"/>
        <v>ne</v>
      </c>
      <c r="C22" s="70">
        <v>15</v>
      </c>
      <c r="D22" s="18"/>
      <c r="E22" s="18"/>
      <c r="F22" s="18"/>
      <c r="G22" s="18"/>
      <c r="H22" s="18"/>
      <c r="I22" s="18"/>
      <c r="J22" s="19"/>
      <c r="K22" s="18"/>
      <c r="L22" s="50"/>
      <c r="M22" s="53"/>
      <c r="O22" s="47">
        <f t="shared" si="1"/>
        <v>46096</v>
      </c>
      <c r="P22" s="47">
        <f ca="1">IFERROR(VLOOKUP(Tabulka166[[#This Row],[Svátky]],Tabulka15[Svátky],1,FALSE),0)</f>
        <v>0</v>
      </c>
      <c r="Q22" s="47" t="str">
        <f ca="1">IF(Tabulka166[[#This Row],[Vyhledáno v číselníku?]],"Svátek","Všední den")</f>
        <v>Všední den</v>
      </c>
    </row>
    <row r="23" spans="1:17" ht="15.75" customHeight="1" thickBot="1" x14ac:dyDescent="0.35">
      <c r="A23" s="47">
        <f t="shared" si="0"/>
        <v>46097</v>
      </c>
      <c r="B23" t="str">
        <f t="shared" si="2"/>
        <v>po</v>
      </c>
      <c r="C23" s="70">
        <v>16</v>
      </c>
      <c r="D23" s="18"/>
      <c r="E23" s="18"/>
      <c r="F23" s="18"/>
      <c r="G23" s="18"/>
      <c r="H23" s="18"/>
      <c r="I23" s="18"/>
      <c r="J23" s="19"/>
      <c r="K23" s="18"/>
      <c r="L23" s="50"/>
      <c r="M23" s="53">
        <f t="shared" si="3"/>
        <v>0</v>
      </c>
      <c r="O23" s="47">
        <f t="shared" si="1"/>
        <v>46097</v>
      </c>
      <c r="P23" s="47">
        <f ca="1">IFERROR(VLOOKUP(Tabulka166[[#This Row],[Svátky]],Tabulka15[Svátky],1,FALSE),0)</f>
        <v>0</v>
      </c>
      <c r="Q23" s="47" t="str">
        <f ca="1">IF(Tabulka166[[#This Row],[Vyhledáno v číselníku?]],"Svátek","Všední den")</f>
        <v>Všední den</v>
      </c>
    </row>
    <row r="24" spans="1:17" ht="15.75" customHeight="1" thickBot="1" x14ac:dyDescent="0.35">
      <c r="A24" s="47">
        <f t="shared" si="0"/>
        <v>46098</v>
      </c>
      <c r="B24" t="str">
        <f t="shared" si="2"/>
        <v>út</v>
      </c>
      <c r="C24" s="70">
        <v>17</v>
      </c>
      <c r="D24" s="18"/>
      <c r="E24" s="18"/>
      <c r="F24" s="18"/>
      <c r="G24" s="18"/>
      <c r="H24" s="18"/>
      <c r="I24" s="18"/>
      <c r="J24" s="19"/>
      <c r="K24" s="18"/>
      <c r="L24" s="50"/>
      <c r="M24" s="53">
        <f t="shared" si="3"/>
        <v>0</v>
      </c>
      <c r="O24" s="47">
        <f t="shared" si="1"/>
        <v>46098</v>
      </c>
      <c r="P24" s="47">
        <f ca="1">IFERROR(VLOOKUP(Tabulka166[[#This Row],[Svátky]],Tabulka15[Svátky],1,FALSE),0)</f>
        <v>0</v>
      </c>
      <c r="Q24" s="47" t="str">
        <f ca="1">IF(Tabulka166[[#This Row],[Vyhledáno v číselníku?]],"Svátek","Všední den")</f>
        <v>Všední den</v>
      </c>
    </row>
    <row r="25" spans="1:17" ht="15.75" customHeight="1" thickBot="1" x14ac:dyDescent="0.35">
      <c r="A25" s="47">
        <f t="shared" si="0"/>
        <v>46099</v>
      </c>
      <c r="B25" t="str">
        <f t="shared" si="2"/>
        <v>st</v>
      </c>
      <c r="C25" s="71">
        <v>18</v>
      </c>
      <c r="D25" s="18"/>
      <c r="E25" s="18"/>
      <c r="F25" s="18"/>
      <c r="G25" s="18"/>
      <c r="H25" s="18"/>
      <c r="I25" s="18"/>
      <c r="J25" s="19"/>
      <c r="K25" s="18"/>
      <c r="L25" s="50"/>
      <c r="M25" s="53">
        <f t="shared" si="3"/>
        <v>0</v>
      </c>
      <c r="O25" s="47">
        <f t="shared" si="1"/>
        <v>46099</v>
      </c>
      <c r="P25" s="47">
        <f ca="1">IFERROR(VLOOKUP(Tabulka166[[#This Row],[Svátky]],Tabulka15[Svátky],1,FALSE),0)</f>
        <v>0</v>
      </c>
      <c r="Q25" s="47" t="str">
        <f ca="1">IF(Tabulka166[[#This Row],[Vyhledáno v číselníku?]],"Svátek","Všední den")</f>
        <v>Všední den</v>
      </c>
    </row>
    <row r="26" spans="1:17" ht="15.75" customHeight="1" thickBot="1" x14ac:dyDescent="0.35">
      <c r="A26" s="47">
        <f t="shared" si="0"/>
        <v>46100</v>
      </c>
      <c r="B26" t="str">
        <f t="shared" si="2"/>
        <v>čt</v>
      </c>
      <c r="C26" s="72">
        <v>19</v>
      </c>
      <c r="D26" s="18"/>
      <c r="E26" s="18"/>
      <c r="F26" s="18"/>
      <c r="G26" s="18"/>
      <c r="H26" s="18"/>
      <c r="I26" s="18"/>
      <c r="J26" s="19"/>
      <c r="K26" s="18"/>
      <c r="L26" s="50"/>
      <c r="M26" s="53">
        <f t="shared" si="3"/>
        <v>0</v>
      </c>
      <c r="O26" s="47">
        <f t="shared" si="1"/>
        <v>46100</v>
      </c>
      <c r="P26" s="47">
        <f ca="1">IFERROR(VLOOKUP(Tabulka166[[#This Row],[Svátky]],Tabulka15[Svátky],1,FALSE),0)</f>
        <v>0</v>
      </c>
      <c r="Q26" s="47" t="str">
        <f ca="1">IF(Tabulka166[[#This Row],[Vyhledáno v číselníku?]],"Svátek","Všední den")</f>
        <v>Všední den</v>
      </c>
    </row>
    <row r="27" spans="1:17" ht="15.75" customHeight="1" thickBot="1" x14ac:dyDescent="0.35">
      <c r="A27" s="47">
        <f t="shared" si="0"/>
        <v>46101</v>
      </c>
      <c r="B27" t="str">
        <f t="shared" si="2"/>
        <v>pá</v>
      </c>
      <c r="C27" s="72">
        <v>20</v>
      </c>
      <c r="D27" s="18"/>
      <c r="E27" s="18"/>
      <c r="F27" s="18"/>
      <c r="G27" s="18"/>
      <c r="H27" s="18"/>
      <c r="I27" s="18"/>
      <c r="J27" s="19"/>
      <c r="K27" s="18"/>
      <c r="L27" s="50"/>
      <c r="M27" s="53">
        <f t="shared" si="3"/>
        <v>0</v>
      </c>
      <c r="O27" s="47">
        <f t="shared" si="1"/>
        <v>46101</v>
      </c>
      <c r="P27" s="47">
        <f ca="1">IFERROR(VLOOKUP(Tabulka166[[#This Row],[Svátky]],Tabulka15[Svátky],1,FALSE),0)</f>
        <v>0</v>
      </c>
      <c r="Q27" s="47" t="str">
        <f ca="1">IF(Tabulka166[[#This Row],[Vyhledáno v číselníku?]],"Svátek","Všední den")</f>
        <v>Všední den</v>
      </c>
    </row>
    <row r="28" spans="1:17" ht="15.75" customHeight="1" thickBot="1" x14ac:dyDescent="0.35">
      <c r="A28" s="47">
        <f t="shared" si="0"/>
        <v>46102</v>
      </c>
      <c r="B28" t="str">
        <f t="shared" si="2"/>
        <v>so</v>
      </c>
      <c r="C28" s="75">
        <v>21</v>
      </c>
      <c r="D28" s="76"/>
      <c r="E28" s="76"/>
      <c r="F28" s="76"/>
      <c r="G28" s="76"/>
      <c r="H28" s="76"/>
      <c r="I28" s="76"/>
      <c r="J28" s="77"/>
      <c r="K28" s="76"/>
      <c r="L28" s="78"/>
      <c r="M28" s="79"/>
      <c r="O28" s="47">
        <f t="shared" si="1"/>
        <v>46102</v>
      </c>
      <c r="P28" s="47">
        <f ca="1">IFERROR(VLOOKUP(Tabulka166[[#This Row],[Svátky]],Tabulka15[Svátky],1,FALSE),0)</f>
        <v>0</v>
      </c>
      <c r="Q28" s="47" t="str">
        <f ca="1">IF(Tabulka166[[#This Row],[Vyhledáno v číselníku?]],"Svátek","Všední den")</f>
        <v>Všední den</v>
      </c>
    </row>
    <row r="29" spans="1:17" ht="15.75" customHeight="1" thickBot="1" x14ac:dyDescent="0.35">
      <c r="A29" s="47">
        <f t="shared" si="0"/>
        <v>46103</v>
      </c>
      <c r="B29" t="str">
        <f t="shared" si="2"/>
        <v>ne</v>
      </c>
      <c r="C29" s="75">
        <v>22</v>
      </c>
      <c r="D29" s="76"/>
      <c r="E29" s="76"/>
      <c r="F29" s="76"/>
      <c r="G29" s="76"/>
      <c r="H29" s="76"/>
      <c r="I29" s="76"/>
      <c r="J29" s="77"/>
      <c r="K29" s="76"/>
      <c r="L29" s="78"/>
      <c r="M29" s="79"/>
      <c r="O29" s="47">
        <f t="shared" si="1"/>
        <v>46103</v>
      </c>
      <c r="P29" s="47">
        <f ca="1">IFERROR(VLOOKUP(Tabulka166[[#This Row],[Svátky]],Tabulka15[Svátky],1,FALSE),0)</f>
        <v>0</v>
      </c>
      <c r="Q29" s="47" t="str">
        <f ca="1">IF(Tabulka166[[#This Row],[Vyhledáno v číselníku?]],"Svátek","Všední den")</f>
        <v>Všední den</v>
      </c>
    </row>
    <row r="30" spans="1:17" ht="15.75" customHeight="1" thickBot="1" x14ac:dyDescent="0.35">
      <c r="A30" s="47">
        <f t="shared" si="0"/>
        <v>46104</v>
      </c>
      <c r="B30" t="str">
        <f t="shared" si="2"/>
        <v>po</v>
      </c>
      <c r="C30" s="72">
        <v>23</v>
      </c>
      <c r="D30" s="18"/>
      <c r="E30" s="18"/>
      <c r="F30" s="18"/>
      <c r="G30" s="18"/>
      <c r="H30" s="18"/>
      <c r="I30" s="18"/>
      <c r="J30" s="19"/>
      <c r="K30" s="18"/>
      <c r="L30" s="50"/>
      <c r="M30" s="53">
        <f t="shared" si="3"/>
        <v>0</v>
      </c>
      <c r="O30" s="47">
        <f t="shared" si="1"/>
        <v>46104</v>
      </c>
      <c r="P30" s="47">
        <f ca="1">IFERROR(VLOOKUP(Tabulka166[[#This Row],[Svátky]],Tabulka15[Svátky],1,FALSE),0)</f>
        <v>0</v>
      </c>
      <c r="Q30" s="47" t="str">
        <f ca="1">IF(Tabulka166[[#This Row],[Vyhledáno v číselníku?]],"Svátek","Všední den")</f>
        <v>Všední den</v>
      </c>
    </row>
    <row r="31" spans="1:17" ht="15.75" customHeight="1" thickBot="1" x14ac:dyDescent="0.35">
      <c r="A31" s="47">
        <f t="shared" si="0"/>
        <v>46105</v>
      </c>
      <c r="B31" t="str">
        <f t="shared" si="2"/>
        <v>út</v>
      </c>
      <c r="C31" s="72">
        <v>24</v>
      </c>
      <c r="D31" s="18"/>
      <c r="E31" s="18"/>
      <c r="F31" s="18"/>
      <c r="G31" s="18"/>
      <c r="H31" s="18"/>
      <c r="I31" s="18"/>
      <c r="J31" s="19"/>
      <c r="K31" s="18"/>
      <c r="L31" s="50"/>
      <c r="M31" s="53">
        <f t="shared" si="3"/>
        <v>0</v>
      </c>
      <c r="O31" s="47">
        <f t="shared" si="1"/>
        <v>46105</v>
      </c>
      <c r="P31" s="47">
        <f ca="1">IFERROR(VLOOKUP(Tabulka166[[#This Row],[Svátky]],Tabulka15[Svátky],1,FALSE),0)</f>
        <v>0</v>
      </c>
      <c r="Q31" s="47" t="str">
        <f ca="1">IF(Tabulka166[[#This Row],[Vyhledáno v číselníku?]],"Svátek","Všední den")</f>
        <v>Všední den</v>
      </c>
    </row>
    <row r="32" spans="1:17" ht="15.75" customHeight="1" thickBot="1" x14ac:dyDescent="0.35">
      <c r="A32" s="47">
        <f t="shared" si="0"/>
        <v>46106</v>
      </c>
      <c r="B32" t="str">
        <f t="shared" si="2"/>
        <v>st</v>
      </c>
      <c r="C32" s="72">
        <v>25</v>
      </c>
      <c r="D32" s="18"/>
      <c r="E32" s="18"/>
      <c r="F32" s="18"/>
      <c r="G32" s="18"/>
      <c r="H32" s="18"/>
      <c r="I32" s="18"/>
      <c r="J32" s="19"/>
      <c r="K32" s="18"/>
      <c r="L32" s="50"/>
      <c r="M32" s="53">
        <f t="shared" si="3"/>
        <v>0</v>
      </c>
      <c r="O32" s="47">
        <f t="shared" si="1"/>
        <v>46106</v>
      </c>
      <c r="P32" s="47">
        <f ca="1">IFERROR(VLOOKUP(Tabulka166[[#This Row],[Svátky]],Tabulka15[Svátky],1,FALSE),0)</f>
        <v>0</v>
      </c>
      <c r="Q32" s="47" t="str">
        <f ca="1">IF(Tabulka166[[#This Row],[Vyhledáno v číselníku?]],"Svátek","Všední den")</f>
        <v>Všední den</v>
      </c>
    </row>
    <row r="33" spans="1:17" ht="15.75" customHeight="1" thickBot="1" x14ac:dyDescent="0.35">
      <c r="A33" s="47">
        <f t="shared" si="0"/>
        <v>46107</v>
      </c>
      <c r="B33" t="str">
        <f t="shared" si="2"/>
        <v>čt</v>
      </c>
      <c r="C33" s="72">
        <v>26</v>
      </c>
      <c r="D33" s="18"/>
      <c r="E33" s="18"/>
      <c r="F33" s="18"/>
      <c r="G33" s="18"/>
      <c r="H33" s="18"/>
      <c r="I33" s="18"/>
      <c r="J33" s="19"/>
      <c r="K33" s="18"/>
      <c r="L33" s="50"/>
      <c r="M33" s="53">
        <f t="shared" si="3"/>
        <v>0</v>
      </c>
      <c r="O33" s="47">
        <f t="shared" si="1"/>
        <v>46107</v>
      </c>
      <c r="P33" s="47">
        <f ca="1">IFERROR(VLOOKUP(Tabulka166[[#This Row],[Svátky]],Tabulka15[Svátky],1,FALSE),0)</f>
        <v>0</v>
      </c>
      <c r="Q33" s="47" t="str">
        <f ca="1">IF(Tabulka166[[#This Row],[Vyhledáno v číselníku?]],"Svátek","Všední den")</f>
        <v>Všední den</v>
      </c>
    </row>
    <row r="34" spans="1:17" ht="15.75" customHeight="1" thickBot="1" x14ac:dyDescent="0.35">
      <c r="A34" s="47">
        <f t="shared" si="0"/>
        <v>46108</v>
      </c>
      <c r="B34" t="str">
        <f t="shared" si="2"/>
        <v>pá</v>
      </c>
      <c r="C34" s="72">
        <v>27</v>
      </c>
      <c r="D34" s="18"/>
      <c r="E34" s="18"/>
      <c r="F34" s="18"/>
      <c r="G34" s="18"/>
      <c r="H34" s="18"/>
      <c r="I34" s="18"/>
      <c r="J34" s="19"/>
      <c r="K34" s="18"/>
      <c r="L34" s="50"/>
      <c r="M34" s="53">
        <f t="shared" si="3"/>
        <v>0</v>
      </c>
      <c r="O34" s="47">
        <f t="shared" si="1"/>
        <v>46108</v>
      </c>
      <c r="P34" s="47">
        <f ca="1">IFERROR(VLOOKUP(Tabulka166[[#This Row],[Svátky]],Tabulka15[Svátky],1,FALSE),0)</f>
        <v>0</v>
      </c>
      <c r="Q34" s="47" t="str">
        <f ca="1">IF(Tabulka166[[#This Row],[Vyhledáno v číselníku?]],"Svátek","Všední den")</f>
        <v>Všední den</v>
      </c>
    </row>
    <row r="35" spans="1:17" ht="15.75" customHeight="1" thickBot="1" x14ac:dyDescent="0.35">
      <c r="A35" s="47">
        <f t="shared" si="0"/>
        <v>46109</v>
      </c>
      <c r="B35" t="str">
        <f t="shared" si="2"/>
        <v>so</v>
      </c>
      <c r="C35" s="75">
        <v>28</v>
      </c>
      <c r="D35" s="76"/>
      <c r="E35" s="76"/>
      <c r="F35" s="76"/>
      <c r="G35" s="76"/>
      <c r="H35" s="76"/>
      <c r="I35" s="76"/>
      <c r="J35" s="77"/>
      <c r="K35" s="76"/>
      <c r="L35" s="78"/>
      <c r="M35" s="79"/>
      <c r="O35" s="47">
        <f t="shared" si="1"/>
        <v>46109</v>
      </c>
      <c r="P35" s="47">
        <f ca="1">IFERROR(VLOOKUP(Tabulka166[[#This Row],[Svátky]],Tabulka15[Svátky],1,FALSE),0)</f>
        <v>0</v>
      </c>
      <c r="Q35" s="47" t="str">
        <f ca="1">IF(Tabulka166[[#This Row],[Vyhledáno v číselníku?]],"Svátek","Všední den")</f>
        <v>Všední den</v>
      </c>
    </row>
    <row r="36" spans="1:17" ht="15.75" customHeight="1" thickBot="1" x14ac:dyDescent="0.35">
      <c r="A36" s="47">
        <f t="shared" si="0"/>
        <v>46110</v>
      </c>
      <c r="B36" t="str">
        <f t="shared" si="2"/>
        <v>ne</v>
      </c>
      <c r="C36" s="72">
        <v>29</v>
      </c>
      <c r="D36" s="18"/>
      <c r="E36" s="18"/>
      <c r="F36" s="18"/>
      <c r="G36" s="18"/>
      <c r="H36" s="18"/>
      <c r="I36" s="18"/>
      <c r="J36" s="19"/>
      <c r="K36" s="18"/>
      <c r="L36" s="50"/>
      <c r="M36" s="53"/>
      <c r="O36" s="47">
        <f t="shared" si="1"/>
        <v>46110</v>
      </c>
      <c r="P36" s="47">
        <f ca="1">IFERROR(VLOOKUP(Tabulka166[[#This Row],[Svátky]],Tabulka15[Svátky],1,FALSE),0)</f>
        <v>0</v>
      </c>
      <c r="Q36" s="47" t="str">
        <f ca="1">IF(Tabulka166[[#This Row],[Vyhledáno v číselníku?]],"Svátek","Všední den")</f>
        <v>Všední den</v>
      </c>
    </row>
    <row r="37" spans="1:17" ht="15.75" customHeight="1" thickBot="1" x14ac:dyDescent="0.35">
      <c r="A37" s="47">
        <f t="shared" si="0"/>
        <v>46111</v>
      </c>
      <c r="B37" t="str">
        <f t="shared" si="2"/>
        <v>po</v>
      </c>
      <c r="C37" s="72">
        <v>30</v>
      </c>
      <c r="D37" s="18"/>
      <c r="E37" s="18"/>
      <c r="F37" s="18"/>
      <c r="G37" s="18"/>
      <c r="H37" s="18"/>
      <c r="I37" s="18"/>
      <c r="J37" s="21"/>
      <c r="K37" s="20"/>
      <c r="L37" s="51"/>
      <c r="M37" s="53">
        <f t="shared" si="3"/>
        <v>0</v>
      </c>
      <c r="O37" s="47">
        <f t="shared" si="1"/>
        <v>46111</v>
      </c>
      <c r="P37" s="47">
        <f ca="1">IFERROR(VLOOKUP(Tabulka166[[#This Row],[Svátky]],Tabulka15[Svátky],1,FALSE),0)</f>
        <v>0</v>
      </c>
      <c r="Q37" s="47" t="str">
        <f ca="1">IF(Tabulka166[[#This Row],[Vyhledáno v číselníku?]],"Svátek","Všední den")</f>
        <v>Všední den</v>
      </c>
    </row>
    <row r="38" spans="1:17" ht="15.75" customHeight="1" thickBot="1" x14ac:dyDescent="0.35">
      <c r="A38" s="47">
        <f t="shared" si="0"/>
        <v>46112</v>
      </c>
      <c r="B38" t="str">
        <f t="shared" si="2"/>
        <v>út</v>
      </c>
      <c r="C38" s="73">
        <v>31</v>
      </c>
      <c r="D38" s="22"/>
      <c r="E38" s="22"/>
      <c r="F38" s="22"/>
      <c r="G38" s="22"/>
      <c r="H38" s="22"/>
      <c r="I38" s="22"/>
      <c r="J38" s="23"/>
      <c r="K38" s="22"/>
      <c r="L38" s="52"/>
      <c r="M38" s="69">
        <f t="shared" si="3"/>
        <v>0</v>
      </c>
      <c r="O38" s="47">
        <f t="shared" si="1"/>
        <v>46112</v>
      </c>
      <c r="P38" s="47">
        <f ca="1">IFERROR(VLOOKUP(Tabulka166[[#This Row],[Svátky]],Tabulka15[Svátky],1,FALSE),0)</f>
        <v>0</v>
      </c>
      <c r="Q38" s="47" t="str">
        <f ca="1">IF(Tabulka166[[#This Row],[Vyhledáno v číselníku?]],"Svátek","Všední den")</f>
        <v>Všední den</v>
      </c>
    </row>
    <row r="39" spans="1:17" ht="15.75" customHeight="1" thickBot="1" x14ac:dyDescent="0.35">
      <c r="C39" s="24"/>
      <c r="D39" s="25"/>
      <c r="E39" s="25"/>
      <c r="F39" s="25"/>
      <c r="G39" s="25"/>
      <c r="H39" s="25"/>
      <c r="I39" s="25"/>
      <c r="J39" s="26"/>
      <c r="K39" s="28" t="s">
        <v>42</v>
      </c>
      <c r="L39" s="26"/>
      <c r="M39" s="68">
        <f>SUM(M8:M34)</f>
        <v>2.6666666666666661</v>
      </c>
    </row>
    <row r="40" spans="1:17" ht="15.75" customHeight="1" thickBot="1" x14ac:dyDescent="0.35">
      <c r="C40" s="27"/>
      <c r="D40" s="41" t="s">
        <v>52</v>
      </c>
      <c r="E40" s="25"/>
      <c r="F40" s="25"/>
      <c r="G40" s="25"/>
      <c r="H40" s="25" t="s">
        <v>51</v>
      </c>
      <c r="I40" s="25"/>
      <c r="J40" s="26"/>
      <c r="K40" s="28" t="s">
        <v>43</v>
      </c>
      <c r="L40" s="26"/>
      <c r="M40" s="54">
        <v>0</v>
      </c>
    </row>
    <row r="41" spans="1:17" ht="15.75" customHeight="1" thickBot="1" x14ac:dyDescent="0.35">
      <c r="C41" s="27"/>
      <c r="D41" s="41" t="s">
        <v>54</v>
      </c>
      <c r="E41" s="25"/>
      <c r="F41" s="25"/>
      <c r="G41" s="25"/>
      <c r="H41" s="25" t="s">
        <v>81</v>
      </c>
      <c r="I41" s="25"/>
      <c r="J41" s="26"/>
      <c r="K41" s="28" t="s">
        <v>44</v>
      </c>
      <c r="L41" s="26"/>
      <c r="M41" s="29">
        <v>0.33333333333333331</v>
      </c>
    </row>
    <row r="42" spans="1:17" ht="15.75" customHeight="1" thickBot="1" x14ac:dyDescent="0.35">
      <c r="C42" s="27"/>
      <c r="D42" s="41" t="s">
        <v>56</v>
      </c>
      <c r="E42" s="25"/>
      <c r="F42" s="25"/>
      <c r="G42" s="25"/>
      <c r="H42" s="25" t="s">
        <v>82</v>
      </c>
      <c r="I42" s="25"/>
      <c r="J42" s="26"/>
      <c r="K42" s="28" t="s">
        <v>45</v>
      </c>
      <c r="L42" s="26"/>
      <c r="M42" s="29">
        <v>0.33333333333333331</v>
      </c>
    </row>
    <row r="43" spans="1:17" ht="15.75" customHeight="1" thickBot="1" x14ac:dyDescent="0.35">
      <c r="C43" s="27"/>
      <c r="D43" s="41" t="s">
        <v>58</v>
      </c>
      <c r="E43" s="25"/>
      <c r="F43" s="25"/>
      <c r="G43" s="25"/>
      <c r="H43" s="25" t="s">
        <v>57</v>
      </c>
      <c r="I43" s="25"/>
      <c r="J43" s="30"/>
      <c r="K43" s="28" t="s">
        <v>46</v>
      </c>
      <c r="L43" s="26"/>
      <c r="M43" s="29">
        <v>0</v>
      </c>
    </row>
    <row r="44" spans="1:17" ht="15.75" customHeight="1" thickBot="1" x14ac:dyDescent="0.35">
      <c r="C44" s="31"/>
      <c r="D44" s="41" t="s">
        <v>60</v>
      </c>
      <c r="E44" s="32"/>
      <c r="F44" s="32"/>
      <c r="G44" s="32"/>
      <c r="H44" s="32" t="s">
        <v>83</v>
      </c>
      <c r="I44" s="32"/>
      <c r="J44" s="14"/>
      <c r="K44" s="33" t="s">
        <v>47</v>
      </c>
      <c r="L44" s="34"/>
      <c r="M44" s="35">
        <v>0</v>
      </c>
    </row>
    <row r="45" spans="1:17" ht="15.75" customHeight="1" thickBot="1" x14ac:dyDescent="0.35">
      <c r="C45" s="31"/>
      <c r="D45" s="41" t="s">
        <v>80</v>
      </c>
      <c r="E45" s="32"/>
      <c r="F45" s="32"/>
      <c r="G45" s="32"/>
      <c r="H45" s="32" t="s">
        <v>61</v>
      </c>
      <c r="I45" s="32"/>
      <c r="J45" s="14"/>
      <c r="K45" s="33" t="s">
        <v>48</v>
      </c>
      <c r="L45" s="34"/>
      <c r="M45" s="35">
        <v>0</v>
      </c>
    </row>
    <row r="46" spans="1:17" ht="15.75" customHeight="1" thickBot="1" x14ac:dyDescent="0.35">
      <c r="C46" s="31"/>
      <c r="E46" s="32"/>
      <c r="F46" s="32"/>
      <c r="G46" s="32"/>
      <c r="H46" s="32"/>
      <c r="I46" s="32"/>
      <c r="J46" s="34"/>
      <c r="K46" s="33" t="s">
        <v>49</v>
      </c>
      <c r="L46" s="34"/>
      <c r="M46" s="5">
        <f>SUM(M39+M40+M41+M42+M43+M44+M45)</f>
        <v>3.333333333333333</v>
      </c>
    </row>
    <row r="47" spans="1:17" x14ac:dyDescent="0.3">
      <c r="A47" s="36"/>
      <c r="B47" s="37"/>
      <c r="C47" s="37"/>
      <c r="D47" s="37"/>
      <c r="E47" s="37"/>
      <c r="F47" s="37"/>
      <c r="G47" s="37"/>
      <c r="H47" s="38"/>
      <c r="I47" s="37"/>
      <c r="J47" s="37"/>
      <c r="K47" s="39"/>
    </row>
    <row r="48" spans="1:17" x14ac:dyDescent="0.3">
      <c r="A48" s="40" t="s">
        <v>50</v>
      </c>
      <c r="B48" s="41" t="s">
        <v>51</v>
      </c>
      <c r="C48" s="41"/>
      <c r="D48" s="41"/>
      <c r="E48" s="41"/>
      <c r="G48" s="41"/>
      <c r="H48" s="42"/>
      <c r="I48" s="41"/>
      <c r="J48" s="32"/>
      <c r="K48" s="43"/>
    </row>
    <row r="49" spans="1:11" x14ac:dyDescent="0.3">
      <c r="A49" s="40"/>
      <c r="B49" s="41" t="s">
        <v>53</v>
      </c>
      <c r="C49" s="41"/>
      <c r="D49" s="41"/>
      <c r="E49" s="41"/>
      <c r="G49" s="41"/>
      <c r="H49" s="42"/>
      <c r="I49" s="41"/>
      <c r="J49" s="32"/>
      <c r="K49" s="43"/>
    </row>
    <row r="50" spans="1:11" x14ac:dyDescent="0.3">
      <c r="A50" s="40"/>
      <c r="B50" s="41" t="s">
        <v>55</v>
      </c>
      <c r="C50" s="41"/>
      <c r="D50" s="41"/>
      <c r="E50" s="41"/>
      <c r="G50" s="41"/>
      <c r="H50" s="42"/>
      <c r="I50" s="41"/>
      <c r="J50" s="32"/>
      <c r="K50" s="43"/>
    </row>
    <row r="51" spans="1:11" x14ac:dyDescent="0.3">
      <c r="A51" s="40"/>
      <c r="B51" s="41" t="s">
        <v>57</v>
      </c>
      <c r="C51" s="41"/>
      <c r="D51" s="41"/>
      <c r="E51" s="41"/>
      <c r="G51" s="41"/>
      <c r="H51" s="42"/>
      <c r="I51" s="41"/>
      <c r="J51" s="32"/>
      <c r="K51" s="43"/>
    </row>
    <row r="52" spans="1:11" x14ac:dyDescent="0.3">
      <c r="A52" s="40"/>
      <c r="B52" s="41" t="s">
        <v>59</v>
      </c>
      <c r="C52" s="41"/>
      <c r="D52" s="41"/>
      <c r="E52" s="41"/>
      <c r="G52" s="41"/>
      <c r="H52" s="42"/>
      <c r="I52" s="41"/>
      <c r="J52" s="32"/>
      <c r="K52" s="43"/>
    </row>
    <row r="53" spans="1:11" x14ac:dyDescent="0.3">
      <c r="A53" s="40"/>
      <c r="B53" s="41" t="s">
        <v>61</v>
      </c>
      <c r="C53" s="41"/>
      <c r="D53" s="41"/>
      <c r="E53" s="41"/>
      <c r="F53" s="41"/>
      <c r="G53" s="41"/>
      <c r="H53" s="42"/>
      <c r="I53" s="41"/>
      <c r="J53" s="32"/>
      <c r="K53" s="43"/>
    </row>
  </sheetData>
  <sheetProtection formatCells="0" formatColumns="0" formatRows="0" insertColumns="0" insertRows="0" insertHyperlinks="0" deleteColumns="0" deleteRows="0" sort="0" autoFilter="0" pivotTables="0"/>
  <mergeCells count="11">
    <mergeCell ref="F6:G6"/>
    <mergeCell ref="H6:I6"/>
    <mergeCell ref="J6:L6"/>
    <mergeCell ref="M6:M7"/>
    <mergeCell ref="C1:M1"/>
    <mergeCell ref="C2:M2"/>
    <mergeCell ref="D3:G3"/>
    <mergeCell ref="D4:E4"/>
    <mergeCell ref="F4:G4"/>
    <mergeCell ref="C5:E5"/>
    <mergeCell ref="F5:M5"/>
  </mergeCells>
  <conditionalFormatting sqref="C8:M38">
    <cfRule type="expression" dxfId="3" priority="1">
      <formula>ROW()-7&gt;$S$7</formula>
    </cfRule>
    <cfRule type="expression" dxfId="2" priority="2">
      <formula>$Q8:$Q38="Svátek"</formula>
    </cfRule>
    <cfRule type="expression" dxfId="1" priority="3">
      <formula>$B8:$B38="so"</formula>
    </cfRule>
    <cfRule type="expression" dxfId="0" priority="4">
      <formula>$B8:$B38="ne"</formula>
    </cfRule>
  </conditionalFormatting>
  <dataValidations count="2">
    <dataValidation type="list" allowBlank="1" showInputMessage="1" showErrorMessage="1" sqref="I4" xr:uid="{7ABEE8AF-EED1-4D1B-AED4-197F04D51D2F}">
      <formula1>"Leden,Únor,Březen,Duben,Květen,Červen,Červenec,Srpen,Září,Říjen,Listopad,Prosinec"</formula1>
    </dataValidation>
    <dataValidation type="list" allowBlank="1" showInputMessage="1" showErrorMessage="1" sqref="K4" xr:uid="{ECF4EB70-D114-4B51-9013-5A706F85D40D}">
      <formula1>"2023,2024,2025,2026"</formula1>
    </dataValidation>
  </dataValidations>
  <pageMargins left="0.7" right="0.7" top="0.78740157499999996" bottom="0.78740157499999996" header="0.3" footer="0.3"/>
  <pageSetup paperSize="9" scale="74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A16F-F683-48EE-8376-3D72BDB36FA4}">
  <dimension ref="A1:V126"/>
  <sheetViews>
    <sheetView workbookViewId="0">
      <selection activeCell="H16" sqref="H16"/>
    </sheetView>
  </sheetViews>
  <sheetFormatPr defaultRowHeight="14.4" x14ac:dyDescent="0.3"/>
  <cols>
    <col min="2" max="2" width="18" customWidth="1"/>
    <col min="22" max="22" width="11.21875" bestFit="1" customWidth="1"/>
  </cols>
  <sheetData>
    <row r="1" spans="1:22" x14ac:dyDescent="0.3">
      <c r="A1" t="s">
        <v>62</v>
      </c>
      <c r="B1" t="s">
        <v>63</v>
      </c>
      <c r="C1" t="s">
        <v>64</v>
      </c>
      <c r="P1" t="s">
        <v>62</v>
      </c>
      <c r="Q1" t="s">
        <v>63</v>
      </c>
      <c r="R1" t="s">
        <v>64</v>
      </c>
      <c r="V1" s="46" t="s">
        <v>77</v>
      </c>
    </row>
    <row r="2" spans="1:22" x14ac:dyDescent="0.3">
      <c r="A2" t="s">
        <v>65</v>
      </c>
      <c r="B2" s="45">
        <v>1</v>
      </c>
      <c r="C2">
        <v>2023</v>
      </c>
      <c r="P2" t="s">
        <v>65</v>
      </c>
      <c r="Q2">
        <v>1</v>
      </c>
      <c r="R2">
        <v>2023</v>
      </c>
      <c r="V2" s="47">
        <f ca="1">DATE(YEAR(TODAY()),1,1)</f>
        <v>46023</v>
      </c>
    </row>
    <row r="3" spans="1:22" x14ac:dyDescent="0.3">
      <c r="A3" t="s">
        <v>66</v>
      </c>
      <c r="B3" s="45">
        <v>2</v>
      </c>
      <c r="C3">
        <v>2024</v>
      </c>
      <c r="P3" t="s">
        <v>66</v>
      </c>
      <c r="Q3">
        <v>2</v>
      </c>
      <c r="R3">
        <v>2024</v>
      </c>
      <c r="V3" s="47">
        <f ca="1">(DOLLAR(("4/"&amp;YEAR(TODAY()))/7+MOD(19*MOD(YEAR(TODAY()),19)-7,30)*14%,)*7-6)-2</f>
        <v>46115</v>
      </c>
    </row>
    <row r="4" spans="1:22" x14ac:dyDescent="0.3">
      <c r="A4" t="s">
        <v>67</v>
      </c>
      <c r="B4" s="45">
        <v>3</v>
      </c>
      <c r="C4">
        <v>2025</v>
      </c>
      <c r="P4" t="s">
        <v>67</v>
      </c>
      <c r="Q4">
        <v>3</v>
      </c>
      <c r="R4">
        <v>2025</v>
      </c>
      <c r="V4" s="47">
        <f ca="1">(DOLLAR(("4/"&amp;YEAR(TODAY()))/7+MOD(19*MOD(YEAR(TODAY()),19)-7,30)*14%,)*7-6)+1</f>
        <v>46118</v>
      </c>
    </row>
    <row r="5" spans="1:22" x14ac:dyDescent="0.3">
      <c r="A5" t="s">
        <v>68</v>
      </c>
      <c r="B5" s="45">
        <v>4</v>
      </c>
      <c r="C5">
        <v>2026</v>
      </c>
      <c r="P5" t="s">
        <v>68</v>
      </c>
      <c r="Q5">
        <v>4</v>
      </c>
      <c r="R5">
        <v>2026</v>
      </c>
      <c r="V5" s="47">
        <f ca="1">DATE(YEAR(TODAY()),5,1)</f>
        <v>46143</v>
      </c>
    </row>
    <row r="6" spans="1:22" x14ac:dyDescent="0.3">
      <c r="A6" t="s">
        <v>69</v>
      </c>
      <c r="B6" s="45">
        <v>5</v>
      </c>
      <c r="C6">
        <v>2027</v>
      </c>
      <c r="P6" t="s">
        <v>69</v>
      </c>
      <c r="Q6">
        <v>5</v>
      </c>
      <c r="R6">
        <v>2027</v>
      </c>
      <c r="V6" s="47">
        <f ca="1">DATE(YEAR(TODAY()),5,8)</f>
        <v>46150</v>
      </c>
    </row>
    <row r="7" spans="1:22" x14ac:dyDescent="0.3">
      <c r="A7" t="s">
        <v>70</v>
      </c>
      <c r="B7" s="45">
        <v>6</v>
      </c>
      <c r="C7">
        <v>2028</v>
      </c>
      <c r="P7" t="s">
        <v>70</v>
      </c>
      <c r="Q7">
        <v>6</v>
      </c>
      <c r="R7">
        <v>2028</v>
      </c>
      <c r="V7" s="47">
        <f ca="1">DATE(YEAR(TODAY()),7,5)</f>
        <v>46208</v>
      </c>
    </row>
    <row r="8" spans="1:22" ht="15" thickBot="1" x14ac:dyDescent="0.35">
      <c r="A8" t="s">
        <v>71</v>
      </c>
      <c r="B8" s="45">
        <v>7</v>
      </c>
      <c r="C8">
        <v>2029</v>
      </c>
      <c r="P8" t="s">
        <v>71</v>
      </c>
      <c r="Q8">
        <v>7</v>
      </c>
      <c r="R8">
        <v>2029</v>
      </c>
      <c r="V8" s="47">
        <f ca="1">DATE(YEAR(TODAY()),7,6)</f>
        <v>46209</v>
      </c>
    </row>
    <row r="9" spans="1:22" ht="15" thickBot="1" x14ac:dyDescent="0.35">
      <c r="A9" t="s">
        <v>72</v>
      </c>
      <c r="B9" s="45">
        <v>8</v>
      </c>
      <c r="C9">
        <v>2030</v>
      </c>
      <c r="P9" t="s">
        <v>72</v>
      </c>
      <c r="Q9">
        <v>8</v>
      </c>
      <c r="R9">
        <v>2030</v>
      </c>
      <c r="V9" s="66">
        <f ca="1">DATE(YEAR(TODAY()),9,28)</f>
        <v>46293</v>
      </c>
    </row>
    <row r="10" spans="1:22" x14ac:dyDescent="0.3">
      <c r="A10" t="s">
        <v>73</v>
      </c>
      <c r="B10" s="45">
        <v>9</v>
      </c>
      <c r="C10">
        <v>2031</v>
      </c>
      <c r="P10" t="s">
        <v>73</v>
      </c>
      <c r="Q10">
        <v>9</v>
      </c>
      <c r="R10">
        <v>2031</v>
      </c>
      <c r="V10" s="47">
        <f ca="1">DATE(YEAR(TODAY()),10,28)</f>
        <v>46323</v>
      </c>
    </row>
    <row r="11" spans="1:22" x14ac:dyDescent="0.3">
      <c r="A11" t="s">
        <v>74</v>
      </c>
      <c r="B11" s="45">
        <v>10</v>
      </c>
      <c r="C11">
        <v>2032</v>
      </c>
      <c r="P11" t="s">
        <v>74</v>
      </c>
      <c r="Q11">
        <v>10</v>
      </c>
      <c r="R11">
        <v>2032</v>
      </c>
      <c r="V11" s="47">
        <f ca="1">DATE(YEAR(TODAY()),11,17)</f>
        <v>46343</v>
      </c>
    </row>
    <row r="12" spans="1:22" x14ac:dyDescent="0.3">
      <c r="A12" t="s">
        <v>75</v>
      </c>
      <c r="B12" s="45">
        <v>11</v>
      </c>
      <c r="P12" t="s">
        <v>75</v>
      </c>
      <c r="Q12">
        <v>11</v>
      </c>
      <c r="V12" s="47">
        <f ca="1">DATE(YEAR(TODAY()),12,24)</f>
        <v>46380</v>
      </c>
    </row>
    <row r="13" spans="1:22" x14ac:dyDescent="0.3">
      <c r="A13" t="s">
        <v>76</v>
      </c>
      <c r="B13" s="45">
        <v>12</v>
      </c>
      <c r="P13" t="s">
        <v>76</v>
      </c>
      <c r="Q13">
        <v>12</v>
      </c>
      <c r="V13" s="47">
        <f ca="1">DATE(YEAR(TODAY()),12,25)</f>
        <v>46381</v>
      </c>
    </row>
    <row r="14" spans="1:22" x14ac:dyDescent="0.3">
      <c r="V14" s="47">
        <f ca="1">DATE(YEAR(TODAY()),12,26)</f>
        <v>46382</v>
      </c>
    </row>
    <row r="15" spans="1:22" x14ac:dyDescent="0.3">
      <c r="V15" s="47"/>
    </row>
    <row r="16" spans="1:22" x14ac:dyDescent="0.3">
      <c r="V16" s="47"/>
    </row>
    <row r="17" spans="22:22" x14ac:dyDescent="0.3">
      <c r="V17" s="47"/>
    </row>
    <row r="18" spans="22:22" x14ac:dyDescent="0.3">
      <c r="V18" s="47"/>
    </row>
    <row r="19" spans="22:22" x14ac:dyDescent="0.3">
      <c r="V19" s="47"/>
    </row>
    <row r="20" spans="22:22" x14ac:dyDescent="0.3">
      <c r="V20" s="47"/>
    </row>
    <row r="21" spans="22:22" x14ac:dyDescent="0.3">
      <c r="V21" s="47"/>
    </row>
    <row r="22" spans="22:22" x14ac:dyDescent="0.3">
      <c r="V22" s="47"/>
    </row>
    <row r="23" spans="22:22" x14ac:dyDescent="0.3">
      <c r="V23" s="47"/>
    </row>
    <row r="24" spans="22:22" x14ac:dyDescent="0.3">
      <c r="V24" s="47"/>
    </row>
    <row r="25" spans="22:22" x14ac:dyDescent="0.3">
      <c r="V25" s="47"/>
    </row>
    <row r="26" spans="22:22" x14ac:dyDescent="0.3">
      <c r="V26" s="47"/>
    </row>
    <row r="27" spans="22:22" x14ac:dyDescent="0.3">
      <c r="V27" s="47"/>
    </row>
    <row r="28" spans="22:22" x14ac:dyDescent="0.3">
      <c r="V28" s="47"/>
    </row>
    <row r="29" spans="22:22" x14ac:dyDescent="0.3">
      <c r="V29" s="47"/>
    </row>
    <row r="30" spans="22:22" x14ac:dyDescent="0.3">
      <c r="V30" s="47"/>
    </row>
    <row r="31" spans="22:22" x14ac:dyDescent="0.3">
      <c r="V31" s="47"/>
    </row>
    <row r="32" spans="22:22" x14ac:dyDescent="0.3">
      <c r="V32" s="47"/>
    </row>
    <row r="33" spans="22:22" x14ac:dyDescent="0.3">
      <c r="V33" s="47"/>
    </row>
    <row r="34" spans="22:22" x14ac:dyDescent="0.3">
      <c r="V34" s="47"/>
    </row>
    <row r="35" spans="22:22" x14ac:dyDescent="0.3">
      <c r="V35" s="47"/>
    </row>
    <row r="36" spans="22:22" x14ac:dyDescent="0.3">
      <c r="V36" s="47"/>
    </row>
    <row r="37" spans="22:22" x14ac:dyDescent="0.3">
      <c r="V37" s="47"/>
    </row>
    <row r="38" spans="22:22" x14ac:dyDescent="0.3">
      <c r="V38" s="47"/>
    </row>
    <row r="39" spans="22:22" x14ac:dyDescent="0.3">
      <c r="V39" s="47"/>
    </row>
    <row r="40" spans="22:22" x14ac:dyDescent="0.3">
      <c r="V40" s="47"/>
    </row>
    <row r="41" spans="22:22" x14ac:dyDescent="0.3">
      <c r="V41" s="47"/>
    </row>
    <row r="42" spans="22:22" x14ac:dyDescent="0.3">
      <c r="V42" s="47"/>
    </row>
    <row r="43" spans="22:22" x14ac:dyDescent="0.3">
      <c r="V43" s="47"/>
    </row>
    <row r="44" spans="22:22" x14ac:dyDescent="0.3">
      <c r="V44" s="47"/>
    </row>
    <row r="45" spans="22:22" x14ac:dyDescent="0.3">
      <c r="V45" s="47"/>
    </row>
    <row r="46" spans="22:22" x14ac:dyDescent="0.3">
      <c r="V46" s="47"/>
    </row>
    <row r="47" spans="22:22" x14ac:dyDescent="0.3">
      <c r="V47" s="47"/>
    </row>
    <row r="48" spans="22:22" x14ac:dyDescent="0.3">
      <c r="V48" s="47"/>
    </row>
    <row r="49" spans="22:22" x14ac:dyDescent="0.3">
      <c r="V49" s="47"/>
    </row>
    <row r="50" spans="22:22" x14ac:dyDescent="0.3">
      <c r="V50" s="47"/>
    </row>
    <row r="51" spans="22:22" x14ac:dyDescent="0.3">
      <c r="V51" s="47"/>
    </row>
    <row r="52" spans="22:22" x14ac:dyDescent="0.3">
      <c r="V52" s="47"/>
    </row>
    <row r="53" spans="22:22" x14ac:dyDescent="0.3">
      <c r="V53" s="47"/>
    </row>
    <row r="54" spans="22:22" x14ac:dyDescent="0.3">
      <c r="V54" s="47"/>
    </row>
    <row r="55" spans="22:22" x14ac:dyDescent="0.3">
      <c r="V55" s="47"/>
    </row>
    <row r="56" spans="22:22" x14ac:dyDescent="0.3">
      <c r="V56" s="47"/>
    </row>
    <row r="57" spans="22:22" x14ac:dyDescent="0.3">
      <c r="V57" s="47"/>
    </row>
    <row r="58" spans="22:22" x14ac:dyDescent="0.3">
      <c r="V58" s="47"/>
    </row>
    <row r="59" spans="22:22" x14ac:dyDescent="0.3">
      <c r="V59" s="47"/>
    </row>
    <row r="60" spans="22:22" x14ac:dyDescent="0.3">
      <c r="V60" s="47"/>
    </row>
    <row r="61" spans="22:22" x14ac:dyDescent="0.3">
      <c r="V61" s="47"/>
    </row>
    <row r="62" spans="22:22" x14ac:dyDescent="0.3">
      <c r="V62" s="47"/>
    </row>
    <row r="63" spans="22:22" x14ac:dyDescent="0.3">
      <c r="V63" s="47"/>
    </row>
    <row r="64" spans="22:22" x14ac:dyDescent="0.3">
      <c r="V64" s="47"/>
    </row>
    <row r="65" spans="22:22" x14ac:dyDescent="0.3">
      <c r="V65" s="47"/>
    </row>
    <row r="66" spans="22:22" x14ac:dyDescent="0.3">
      <c r="V66" s="47"/>
    </row>
    <row r="67" spans="22:22" x14ac:dyDescent="0.3">
      <c r="V67" s="47"/>
    </row>
    <row r="68" spans="22:22" x14ac:dyDescent="0.3">
      <c r="V68" s="47"/>
    </row>
    <row r="69" spans="22:22" x14ac:dyDescent="0.3">
      <c r="V69" s="47"/>
    </row>
    <row r="70" spans="22:22" x14ac:dyDescent="0.3">
      <c r="V70" s="47"/>
    </row>
    <row r="71" spans="22:22" x14ac:dyDescent="0.3">
      <c r="V71" s="47"/>
    </row>
    <row r="72" spans="22:22" x14ac:dyDescent="0.3">
      <c r="V72" s="47"/>
    </row>
    <row r="73" spans="22:22" x14ac:dyDescent="0.3">
      <c r="V73" s="47"/>
    </row>
    <row r="74" spans="22:22" x14ac:dyDescent="0.3">
      <c r="V74" s="47"/>
    </row>
    <row r="75" spans="22:22" x14ac:dyDescent="0.3">
      <c r="V75" s="47"/>
    </row>
    <row r="76" spans="22:22" x14ac:dyDescent="0.3">
      <c r="V76" s="47"/>
    </row>
    <row r="77" spans="22:22" x14ac:dyDescent="0.3">
      <c r="V77" s="47"/>
    </row>
    <row r="78" spans="22:22" x14ac:dyDescent="0.3">
      <c r="V78" s="47"/>
    </row>
    <row r="79" spans="22:22" x14ac:dyDescent="0.3">
      <c r="V79" s="47"/>
    </row>
    <row r="80" spans="22:22" x14ac:dyDescent="0.3">
      <c r="V80" s="47"/>
    </row>
    <row r="81" spans="22:22" x14ac:dyDescent="0.3">
      <c r="V81" s="47"/>
    </row>
    <row r="82" spans="22:22" x14ac:dyDescent="0.3">
      <c r="V82" s="47"/>
    </row>
    <row r="83" spans="22:22" x14ac:dyDescent="0.3">
      <c r="V83" s="47"/>
    </row>
    <row r="84" spans="22:22" x14ac:dyDescent="0.3">
      <c r="V84" s="47"/>
    </row>
    <row r="85" spans="22:22" x14ac:dyDescent="0.3">
      <c r="V85" s="47"/>
    </row>
    <row r="86" spans="22:22" x14ac:dyDescent="0.3">
      <c r="V86" s="47"/>
    </row>
    <row r="87" spans="22:22" x14ac:dyDescent="0.3">
      <c r="V87" s="47"/>
    </row>
    <row r="88" spans="22:22" x14ac:dyDescent="0.3">
      <c r="V88" s="47"/>
    </row>
    <row r="89" spans="22:22" x14ac:dyDescent="0.3">
      <c r="V89" s="47"/>
    </row>
    <row r="90" spans="22:22" x14ac:dyDescent="0.3">
      <c r="V90" s="47"/>
    </row>
    <row r="91" spans="22:22" x14ac:dyDescent="0.3">
      <c r="V91" s="47"/>
    </row>
    <row r="92" spans="22:22" x14ac:dyDescent="0.3">
      <c r="V92" s="47"/>
    </row>
    <row r="93" spans="22:22" x14ac:dyDescent="0.3">
      <c r="V93" s="47"/>
    </row>
    <row r="94" spans="22:22" x14ac:dyDescent="0.3">
      <c r="V94" s="47"/>
    </row>
    <row r="95" spans="22:22" x14ac:dyDescent="0.3">
      <c r="V95" s="47"/>
    </row>
    <row r="96" spans="22:22" x14ac:dyDescent="0.3">
      <c r="V96" s="47"/>
    </row>
    <row r="97" spans="22:22" x14ac:dyDescent="0.3">
      <c r="V97" s="47"/>
    </row>
    <row r="98" spans="22:22" x14ac:dyDescent="0.3">
      <c r="V98" s="47"/>
    </row>
    <row r="99" spans="22:22" x14ac:dyDescent="0.3">
      <c r="V99" s="47"/>
    </row>
    <row r="100" spans="22:22" x14ac:dyDescent="0.3">
      <c r="V100" s="47"/>
    </row>
    <row r="101" spans="22:22" x14ac:dyDescent="0.3">
      <c r="V101" s="47"/>
    </row>
    <row r="102" spans="22:22" x14ac:dyDescent="0.3">
      <c r="V102" s="47"/>
    </row>
    <row r="103" spans="22:22" x14ac:dyDescent="0.3">
      <c r="V103" s="47"/>
    </row>
    <row r="104" spans="22:22" x14ac:dyDescent="0.3">
      <c r="V104" s="47"/>
    </row>
    <row r="105" spans="22:22" x14ac:dyDescent="0.3">
      <c r="V105" s="47"/>
    </row>
    <row r="106" spans="22:22" x14ac:dyDescent="0.3">
      <c r="V106" s="47"/>
    </row>
    <row r="107" spans="22:22" x14ac:dyDescent="0.3">
      <c r="V107" s="47"/>
    </row>
    <row r="108" spans="22:22" x14ac:dyDescent="0.3">
      <c r="V108" s="47"/>
    </row>
    <row r="109" spans="22:22" x14ac:dyDescent="0.3">
      <c r="V109" s="47"/>
    </row>
    <row r="110" spans="22:22" x14ac:dyDescent="0.3">
      <c r="V110" s="47"/>
    </row>
    <row r="111" spans="22:22" x14ac:dyDescent="0.3">
      <c r="V111" s="47"/>
    </row>
    <row r="112" spans="22:22" x14ac:dyDescent="0.3">
      <c r="V112" s="47"/>
    </row>
    <row r="113" spans="22:22" x14ac:dyDescent="0.3">
      <c r="V113" s="47"/>
    </row>
    <row r="114" spans="22:22" x14ac:dyDescent="0.3">
      <c r="V114" s="47"/>
    </row>
    <row r="115" spans="22:22" x14ac:dyDescent="0.3">
      <c r="V115" s="47"/>
    </row>
    <row r="116" spans="22:22" x14ac:dyDescent="0.3">
      <c r="V116" s="47"/>
    </row>
    <row r="117" spans="22:22" x14ac:dyDescent="0.3">
      <c r="V117" s="47"/>
    </row>
    <row r="118" spans="22:22" x14ac:dyDescent="0.3">
      <c r="V118" s="47"/>
    </row>
    <row r="119" spans="22:22" x14ac:dyDescent="0.3">
      <c r="V119" s="47"/>
    </row>
    <row r="120" spans="22:22" x14ac:dyDescent="0.3">
      <c r="V120" s="47"/>
    </row>
    <row r="121" spans="22:22" x14ac:dyDescent="0.3">
      <c r="V121" s="47"/>
    </row>
    <row r="122" spans="22:22" x14ac:dyDescent="0.3">
      <c r="V122" s="47"/>
    </row>
    <row r="123" spans="22:22" x14ac:dyDescent="0.3">
      <c r="V123" s="47"/>
    </row>
    <row r="124" spans="22:22" x14ac:dyDescent="0.3">
      <c r="V124" s="47"/>
    </row>
    <row r="125" spans="22:22" x14ac:dyDescent="0.3">
      <c r="V125" s="47"/>
    </row>
    <row r="126" spans="22:22" x14ac:dyDescent="0.3">
      <c r="V126" s="47"/>
    </row>
  </sheetData>
  <pageMargins left="0.7" right="0.7" top="0.78740157499999996" bottom="0.78740157499999996" header="0.3" footer="0.3"/>
  <pageSetup paperSize="9" orientation="portrait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Zaměstnanec - informace</vt:lpstr>
      <vt:lpstr>VZOR </vt:lpstr>
      <vt:lpstr>únor 2026</vt:lpstr>
      <vt:lpstr>Číselník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pavel.kadlec</dc:creator>
  <cp:lastModifiedBy>Zemanová Marta</cp:lastModifiedBy>
  <cp:lastPrinted>2026-02-27T08:06:04Z</cp:lastPrinted>
  <dcterms:created xsi:type="dcterms:W3CDTF">2015-01-30T10:59:20Z</dcterms:created>
  <dcterms:modified xsi:type="dcterms:W3CDTF">2026-03-10T12:26:47Z</dcterms:modified>
</cp:coreProperties>
</file>